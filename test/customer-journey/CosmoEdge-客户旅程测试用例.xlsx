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759fd5dfc4e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审总览" sheetId="1" r:id="R23b99d354dd94757"/>
    <x:sheet xmlns:r="http://schemas.openxmlformats.org/officeDocument/2006/relationships" name="客户旅程" sheetId="2" r:id="R0489923804994282"/>
    <x:sheet xmlns:r="http://schemas.openxmlformats.org/officeDocument/2006/relationships" name="详细用例" sheetId="3" r:id="R7f04b68864ca482b"/>
    <x:sheet xmlns:r="http://schemas.openxmlformats.org/officeDocument/2006/relationships" name="设备矩阵" sheetId="4" r:id="R0a32b96f0f8a40da"/>
    <x:sheet xmlns:r="http://schemas.openxmlformats.org/officeDocument/2006/relationships" name="资源与缺口" sheetId="5" r:id="R9530c7664c8a4157"/>
    <x:sheet xmlns:r="http://schemas.openxmlformats.org/officeDocument/2006/relationships" name="功能覆盖" sheetId="6" r:id="Rbb2f0b68d60d41dd"/>
    <x:sheet xmlns:r="http://schemas.openxmlformats.org/officeDocument/2006/relationships" name="算法覆盖" sheetId="7" r:id="R1ad84657c5404fde"/>
    <x:sheet xmlns:r="http://schemas.openxmlformats.org/officeDocument/2006/relationships" name="组件覆盖" sheetId="8" r:id="R1a5110ea10164377"/>
    <x:sheet xmlns:r="http://schemas.openxmlformats.org/officeDocument/2006/relationships" name="参数覆盖" sheetId="9" r:id="R796c798ff4da457e"/>
    <x:sheet xmlns:r="http://schemas.openxmlformats.org/officeDocument/2006/relationships" name="接口覆盖" sheetId="10" r:id="R23a0a38321084537"/>
    <x:sheet xmlns:r="http://schemas.openxmlformats.org/officeDocument/2006/relationships" name="补充检查" sheetId="11" r:id="R5035c7d7798b45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5"/>
      <x:color rgb="FF183153"/>
      <x:name val="Microsoft YaHei"/>
    </x:font>
    <x:font>
      <x:sz val="10"/>
      <x:color rgb="FF24334A"/>
      <x:name val="Microsoft YaHei"/>
    </x:font>
    <x:font>
      <x:b/>
      <x:sz val="10"/>
      <x:color rgb="FFFFFFFF"/>
      <x:name val="Microsoft YaHei"/>
    </x:font>
    <x:font>
      <x:b/>
      <x:sz val="10"/>
      <x:color rgb="FF24334A"/>
      <x:name val="Microsoft YaHei"/>
    </x:font>
    <x:font>
      <x:sz val="11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253F63"/>
      </x:patternFill>
    </x:fill>
    <x:fill>
      <x:patternFill patternType="solid">
        <x:fgColor rgb="FFF4F7FB"/>
      </x:patternFill>
    </x:fill>
    <x:fill>
      <x:patternFill patternType="solid">
        <x:fgColor rgb="FFFFF8E7"/>
      </x:patternFill>
    </x:fill>
    <x:fill>
      <x:patternFill patternType="solid">
        <x:fgColor rgb="FF253F63"/>
      </x:patternFill>
    </x:fill>
    <x:fill>
      <x:patternFill patternType="solid">
        <x:fgColor rgb="FFF4F7FB"/>
      </x:patternFill>
    </x:fill>
    <x:fill>
      <x:patternFill patternType="solid">
        <x:fgColor rgb="FFFFF8E7"/>
      </x:patternFill>
    </x:fill>
  </x:fills>
  <x:borders count="1">
    <x:border/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7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4">
    <x:dxf>
      <x:font>
        <x:b/>
        <x:color rgb="FF9B2424"/>
      </x:font>
      <x:fill>
        <x:patternFill>
          <x:bgColor rgb="FFFCE3E1"/>
        </x:patternFill>
      </x:fill>
    </x:dxf>
    <x:dxf>
      <x:font>
        <x:color rgb="FF8A520B"/>
      </x:font>
      <x:fill>
        <x:patternFill>
          <x:bgColor rgb="FFFFF0C5"/>
        </x:patternFill>
      </x:fill>
    </x:dxf>
    <x:dxf>
      <x:font>
        <x:b/>
        <x:color rgb="FF9B2424"/>
      </x:font>
      <x:fill>
        <x:patternFill>
          <x:bgColor rgb="FFFCE3E1"/>
        </x:patternFill>
      </x:fill>
    </x:dxf>
    <x:dxf>
      <x:font>
        <x:color rgb="FF8A520B"/>
      </x:font>
      <x:fill>
        <x:patternFill>
          <x:bgColor rgb="FFFFF0C5"/>
        </x:patternFill>
      </x:fill>
    </x:dxf>
    <x:dxf>
      <x:font>
        <x:b/>
        <x:color rgb="FF9B2424"/>
      </x:font>
      <x:fill>
        <x:patternFill>
          <x:bgColor rgb="FFFCE3E1"/>
        </x:patternFill>
      </x:fill>
    </x:dxf>
    <x:dxf>
      <x:font>
        <x:color rgb="FF8A520B"/>
      </x:font>
      <x:fill>
        <x:patternFill>
          <x:bgColor rgb="FFFFF0C5"/>
        </x:patternFill>
      </x:fill>
    </x:dxf>
    <x:dxf>
      <x:font>
        <x:b/>
        <x:color rgb="FF9B2424"/>
      </x:font>
      <x:fill>
        <x:patternFill>
          <x:bgColor rgb="FFFCE3E1"/>
        </x:patternFill>
      </x:fill>
    </x:dxf>
    <x:dxf>
      <x:font>
        <x:color rgb="FF8A520B"/>
      </x:font>
      <x:fill>
        <x:patternFill>
          <x:bgColor rgb="FFFFF0C5"/>
        </x:patternFill>
      </x:fill>
    </x:dxf>
    <x:dxf>
      <x:font>
        <x:b/>
        <x:color rgb="FF9B2424"/>
      </x:font>
      <x:fill>
        <x:patternFill>
          <x:bgColor rgb="FFFCE3E1"/>
        </x:patternFill>
      </x:fill>
    </x:dxf>
    <x:dxf>
      <x:font>
        <x:color rgb="FF8A520B"/>
      </x:font>
      <x:fill>
        <x:patternFill>
          <x:bgColor rgb="FFFFF0C5"/>
        </x:patternFill>
      </x:fill>
    </x:dxf>
    <x:dxf>
      <x:font>
        <x:b/>
        <x:color rgb="FF9B2424"/>
      </x:font>
      <x:fill>
        <x:patternFill>
          <x:bgColor rgb="FFFCE3E1"/>
        </x:patternFill>
      </x:fill>
    </x:dxf>
    <x:dxf>
      <x:font>
        <x:color rgb="FF8A520B"/>
      </x:font>
      <x:fill>
        <x:patternFill>
          <x:bgColor rgb="FFFFF0C5"/>
        </x:patternFill>
      </x:fill>
    </x:dxf>
    <x:dxf>
      <x:font>
        <x:b/>
        <x:color rgb="FF9B2424"/>
      </x:font>
      <x:fill>
        <x:patternFill>
          <x:bgColor rgb="FFFCE3E1"/>
        </x:patternFill>
      </x:fill>
    </x:dxf>
    <x:dxf>
      <x:font>
        <x:color rgb="FF8A520B"/>
      </x:font>
      <x:fill>
        <x:patternFill>
          <x:bgColor rgb="FFFFF0C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123e7dccae4f7e" /><Relationship Type="http://schemas.openxmlformats.org/officeDocument/2006/relationships/theme" Target="/xl/theme/theme1.xml" Id="Rbc55c7aecbca482c" /><Relationship Type="http://schemas.openxmlformats.org/officeDocument/2006/relationships/sharedStrings" Target="/xl/sharedStrings.xml" Id="R50c4d1998cbe4847" /><Relationship Type="http://schemas.openxmlformats.org/officeDocument/2006/relationships/worksheet" Target="/xl/worksheets/sheet1.xml" Id="R23b99d354dd94757" /><Relationship Type="http://schemas.openxmlformats.org/officeDocument/2006/relationships/worksheet" Target="/xl/worksheets/sheet2.xml" Id="R0489923804994282" /><Relationship Type="http://schemas.openxmlformats.org/officeDocument/2006/relationships/worksheet" Target="/xl/worksheets/sheet3.xml" Id="R7f04b68864ca482b" /><Relationship Type="http://schemas.openxmlformats.org/officeDocument/2006/relationships/worksheet" Target="/xl/worksheets/sheet4.xml" Id="R0a32b96f0f8a40da" /><Relationship Type="http://schemas.openxmlformats.org/officeDocument/2006/relationships/worksheet" Target="/xl/worksheets/sheet5.xml" Id="R9530c7664c8a4157" /><Relationship Type="http://schemas.openxmlformats.org/officeDocument/2006/relationships/worksheet" Target="/xl/worksheets/sheet6.xml" Id="Rbb2f0b68d60d41dd" /><Relationship Type="http://schemas.openxmlformats.org/officeDocument/2006/relationships/worksheet" Target="/xl/worksheets/sheet7.xml" Id="R1ad84657c5404fde" /><Relationship Type="http://schemas.openxmlformats.org/officeDocument/2006/relationships/worksheet" Target="/xl/worksheets/sheet8.xml" Id="R1a5110ea10164377" /><Relationship Type="http://schemas.openxmlformats.org/officeDocument/2006/relationships/worksheet" Target="/xl/worksheets/sheet9.xml" Id="R796c798ff4da457e" /><Relationship Type="http://schemas.openxmlformats.org/officeDocument/2006/relationships/worksheet" Target="/xl/worksheets/sheet10.xml" Id="R23a0a38321084537" /><Relationship Type="http://schemas.openxmlformats.org/officeDocument/2006/relationships/worksheet" Target="/xl/worksheets/sheet11.xml" Id="R5035c7d7798b4548" /></Relationships>
</file>

<file path=xl/tables/table1.xml><?xml version="1.0" encoding="utf-8"?>
<x:table xmlns:x="http://schemas.openxmlformats.org/spreadsheetml/2006/main" id="1" name="Journeys" displayName="Journeys" ref="A4:G16" headerRowCount="1" totalsRowCount="0" totalsRowShown="0">
  <x:autoFilter ref="A4:G16"/>
  <x:tableColumns count="7">
    <x:tableColumn id="1" name="旅程ID"/>
    <x:tableColumn id="2" name="旅程"/>
    <x:tableColumn id="3" name="使用者"/>
    <x:tableColumn id="4" name="业务目标"/>
    <x:tableColumn id="5" name="关联用例组"/>
    <x:tableColumn id="6" name="顺序与检查点"/>
    <x:tableColumn id="7" name="完成条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1" name="TestCases" displayName="TestCases" ref="A4:AC336" headerRowCount="1" totalsRowCount="0" totalsRowShown="0">
  <x:autoFilter ref="A4:AC336"/>
  <x:tableColumns count="29">
    <x:tableColumn id="1" name="用例ID"/>
    <x:tableColumn id="2" name="旅程"/>
    <x:tableColumn id="3" name="模块"/>
    <x:tableColumn id="4" name="优先级"/>
    <x:tableColumn id="5" name="测试内容"/>
    <x:tableColumn id="6" name="前置条件"/>
    <x:tableColumn id="7" name="资源"/>
    <x:tableColumn id="8" name="操作步骤"/>
    <x:tableColumn id="9" name="预期结果"/>
    <x:tableColumn id="10" name="清理恢复"/>
    <x:tableColumn id="11" name="取证要求"/>
    <x:tableColumn id="12" name="执行方式"/>
    <x:tableColumn id="13" name="回归层级"/>
    <x:tableColumn id="14" name="适用边界"/>
    <x:tableColumn id="15" name="来源"/>
    <x:tableColumn id="16" name="执行状态"/>
    <x:tableColumn id="17" name="评审意见"/>
    <x:tableColumn id="18" name="实际结果/证据链接"/>
    <x:tableColumn id="19" name="缺陷ID"/>
    <x:tableColumn id="20" name="修订"/>
    <x:tableColumn id="21" name="资源编号"/>
    <x:tableColumn id="22" name="执行器"/>
    <x:tableColumn id="23" name="未通过原因"/>
    <x:tableColumn id="24" name="失败步骤"/>
    <x:tableColumn id="25" name="证据链接"/>
    <x:tableColumn id="26" name="测试版本"/>
    <x:tableColumn id="27" name="执行时间"/>
    <x:tableColumn id="28" name="清理结果"/>
    <x:tableColumn id="29" name="记录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viceMatrix" displayName="DeviceMatrix" ref="A4:I46" headerRowCount="1" totalsRowCount="0" totalsRowShown="0">
  <x:autoFilter ref="A4:I46"/>
  <x:tableColumns count="9">
    <x:tableColumn id="1" name="实例ID"/>
    <x:tableColumn id="2" name="设备"/>
    <x:tableColumn id="3" name="协议"/>
    <x:tableColumn id="4" name="通道或码流"/>
    <x:tableColumn id="5" name="组合与前置"/>
    <x:tableColumn id="6" name="关联用例"/>
    <x:tableColumn id="7" name="完成标志"/>
    <x:tableColumn id="8" name="执行状态"/>
    <x:tableColumn id="9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2" name="Resources" displayName="Resources" ref="A4:G39" headerRowCount="1" totalsRowCount="0" totalsRowShown="0">
  <x:autoFilter ref="A4:G39"/>
  <x:tableColumns count="7">
    <x:tableColumn id="1" name="资源编号"/>
    <x:tableColumn id="2" name="资源名称"/>
    <x:tableColumn id="3" name="类型"/>
    <x:tableColumn id="4" name="准备要求"/>
    <x:tableColumn id="5" name="提供方"/>
    <x:tableColumn id="6" name="必填字段"/>
    <x:tableColumn id="7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FeatureCoverage" displayName="FeatureCoverage" ref="A4:F60" headerRowCount="1" totalsRowCount="0" totalsRowShown="0">
  <x:autoFilter ref="A4:F60"/>
  <x:tableColumns count="6">
    <x:tableColumn id="1" name="入口或功能"/>
    <x:tableColumn id="2" name="模块"/>
    <x:tableColumn id="3" name="关联用例"/>
    <x:tableColumn id="4" name="适用条件"/>
    <x:tableColumn id="5" name="源码依据"/>
    <x:tableColumn id="6" name="执行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AlgorithmCoverage" displayName="AlgorithmCoverage" ref="A4:I49" headerRowCount="1" totalsRowCount="0" totalsRowShown="0">
  <x:autoFilter ref="A4:I49"/>
  <x:tableColumns count="9">
    <x:tableColumn id="1" name="模板ID"/>
    <x:tableColumn id="2" name="模板名称"/>
    <x:tableColumn id="3" name="类型"/>
    <x:tableColumn id="4" name="资源平台"/>
    <x:tableColumn id="5" name="关联用例"/>
    <x:tableColumn id="6" name="模型与数据准备"/>
    <x:tableColumn id="7" name="源码依据"/>
    <x:tableColumn id="8" name="执行状态"/>
    <x:tableColumn id="9" name="评审意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ComponentCoverage" displayName="ComponentCoverage" ref="A4:J57" headerRowCount="1" totalsRowCount="0" totalsRowShown="0">
  <x:autoFilter ref="A4:J57"/>
  <x:tableColumns count="10">
    <x:tableColumn id="1" name="组件目录"/>
    <x:tableColumn id="2" name="组件ID"/>
    <x:tableColumn id="3" name="组件名称"/>
    <x:tableColumn id="4" name="资源平台"/>
    <x:tableColumn id="5" name="关联用例"/>
    <x:tableColumn id="6" name="组件说明"/>
    <x:tableColumn id="7" name="逐项验证"/>
    <x:tableColumn id="8" name="源码依据"/>
    <x:tableColumn id="9" name="执行状态"/>
    <x:tableColumn id="10" name="评审意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ParameterCoverage" displayName="ParameterCoverage" ref="A4:O585" headerRowCount="1" totalsRowCount="0" totalsRowShown="0">
  <x:autoFilter ref="A4:O585"/>
  <x:tableColumns count="15">
    <x:tableColumn id="1" name="参数记录ID"/>
    <x:tableColumn id="2" name="归属类型"/>
    <x:tableColumn id="3" name="归属ID"/>
    <x:tableColumn id="4" name="归属名称"/>
    <x:tableColumn id="5" name="参数键"/>
    <x:tableColumn id="6" name="参数名称"/>
    <x:tableColumn id="7" name="资源平台"/>
    <x:tableColumn id="8" name="默认值"/>
    <x:tableColumn id="9" name="约束或枚举"/>
    <x:tableColumn id="10" name="依赖字段"/>
    <x:tableColumn id="11" name="语义描述"/>
    <x:tableColumn id="12" name="输入与行为测试"/>
    <x:tableColumn id="13" name="关联用例"/>
    <x:tableColumn id="14" name="执行状态"/>
    <x:tableColumn id="15" name="评审意见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ApiCoverage" displayName="ApiCoverage" ref="A4:J187" headerRowCount="1" totalsRowCount="0" totalsRowShown="0">
  <x:autoFilter ref="A4:J187"/>
  <x:tableColumns count="10">
    <x:tableColumn id="1" name="接口记录ID"/>
    <x:tableColumn id="2" name="接口路径"/>
    <x:tableColumn id="3" name="认证声明"/>
    <x:tableColumn id="4" name="业务模块"/>
    <x:tableColumn id="5" name="业务用例"/>
    <x:tableColumn id="6" name="公共契约用例"/>
    <x:tableColumn id="7" name="操作性质"/>
    <x:tableColumn id="8" name="注册来源"/>
    <x:tableColumn id="9" name="执行状态"/>
    <x:tableColumn id="10" name="评审意见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3" name="ExtraChecks" displayName="ExtraChecks" ref="A4:C8" headerRowCount="1" totalsRowCount="0" totalsRowShown="0">
  <x:tableColumns count="3">
    <x:tableColumn id="1" name="用例ID"/>
    <x:tableColumn id="2" name="检查ID"/>
    <x:tableColumn id="3" name="检查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e617a76afe49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55aceb121e4f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fa384317ba42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d7efee2bc246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b436da5b5443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c7e1de4d6646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94ff7277614f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d15cb3065b436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077c0cacfa24b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52dead9eb954231" /></Relationships>
</file>

<file path=xl/worksheets/sheet1.xml><?xml version="1.0" encoding="utf-8"?>
<x:worksheet xmlns:x="http://schemas.openxmlformats.org/spreadsheetml/2006/main">
  <x:sheetPr>
    <x:tabColor rgb="FF183153"/>
  </x:sheetPr>
  <x:sheetViews>
    <x:sheetView showGridLines="0" workbookViewId="0"/>
  </x:sheetViews>
  <x:sheetFormatPr defaultRowHeight="15"/>
  <x:cols>
    <x:col min="1" max="1" width="26" hidden="0" customWidth="1"/>
    <x:col min="2" max="2" width="112" hidden="0" customWidth="1"/>
  </x:cols>
  <x:sheetData>
    <x:row r="2" ht="29" customHeight="1">
      <x:c r="A2" s="1" t="str">
        <x:v>CosmoEdge 客户旅程测试用例</x:v>
      </x:c>
    </x:row>
    <x:row r="4" ht="34" customHeight="1">
      <x:c r="A4" s="8" t="str">
        <x:v>评审项目</x:v>
      </x:c>
      <x:c r="B4" s="8" t="str">
        <x:v>内容</x:v>
      </x:c>
    </x:row>
    <x:row r="5" ht="32" customHeight="1">
      <x:c r="A5" s="4" t="str">
        <x:v>用例总数</x:v>
      </x:c>
      <x:c r="B5" s="10" t="n">
        <x:v>332</x:v>
      </x:c>
    </x:row>
    <x:row r="6" ht="32" customHeight="1">
      <x:c r="A6" s="9" t="str">
        <x:v>已通过</x:v>
      </x:c>
      <x:c r="B6" s="11" t="n">
        <x:f>COUNTIFS('详细用例'!P5:P336,"通过")</x:f>
        <x:v>0</x:v>
      </x:c>
    </x:row>
    <x:row r="7" ht="32" customHeight="1">
      <x:c r="A7" s="4" t="str">
        <x:v>失败</x:v>
      </x:c>
      <x:c r="B7" s="10" t="n">
        <x:f>COUNTIFS('详细用例'!P5:P336,"失败")</x:f>
        <x:v>0</x:v>
      </x:c>
    </x:row>
    <x:row r="8" ht="32" customHeight="1">
      <x:c r="A8" s="9" t="str">
        <x:v>阻塞</x:v>
      </x:c>
      <x:c r="B8" s="11" t="n">
        <x:f>COUNTIFS('详细用例'!P5:P336,"阻塞")</x:f>
        <x:v>0</x:v>
      </x:c>
    </x:row>
    <x:row r="9" ht="32" customHeight="1">
      <x:c r="A9" s="4" t="str">
        <x:v>未执行</x:v>
      </x:c>
      <x:c r="B9" s="10" t="n">
        <x:v>332</x:v>
      </x:c>
    </x:row>
    <x:row r="10" ht="32" customHeight="1">
      <x:c r="A10" s="9" t="str">
        <x:v>部分完成</x:v>
      </x:c>
      <x:c r="B10" s="11" t="n">
        <x:f>COUNTIFS('详细用例'!P5:P336,"部分完成")</x:f>
        <x:v>0</x:v>
      </x:c>
    </x:row>
    <x:row r="11" ht="32" customHeight="1">
      <x:c r="A11" s="4" t="str">
        <x:v>不适用</x:v>
      </x:c>
      <x:c r="B11" s="10" t="n">
        <x:f>COUNTIFS('详细用例'!P5:P336,"不适用")</x:f>
        <x:v>0</x:v>
      </x:c>
    </x:row>
    <x:row r="12" ht="32" customHeight="1">
      <x:c r="A12" s="9" t="str">
        <x:v>设计范围</x:v>
      </x:c>
      <x:c r="B12" s="9" t="str">
        <x:v>12条旅程 / 28模块 / 45模板</x:v>
      </x:c>
    </x:row>
    <x:row r="13" ht="32" customHeight="1">
      <x:c r="A13" s="4" t="str">
        <x:v>接口与字段</x:v>
      </x:c>
      <x:c r="B13" s="4" t="str">
        <x:v>183路由 / 53组件 / 581参数记录</x:v>
      </x:c>
    </x:row>
    <x:row r="14" ht="32" customHeight="1">
      <x:c r="A14" s="9" t="str">
        <x:v>执行说明</x:v>
      </x:c>
      <x:c r="B14" s="9" t="str">
        <x:v>正式用例库；执行前冻结副本，结果另存，不覆盖本文件。</x:v>
      </x:c>
    </x:row>
    <x:row r="15" ht="32" customHeight="1">
      <x:c r="A15" s="4" t="str">
        <x:v>填写方式</x:v>
      </x:c>
      <x:c r="B15" s="4" t="str">
        <x:v>在本XLSX编辑用例和矩阵；Codex读取XLSX，不从人工维护的JSON执行。</x:v>
      </x:c>
    </x:row>
    <x:row r="16" ht="32" customHeight="1">
      <x:c r="A16" s="9" t="str">
        <x:v>材料边界</x:v>
      </x:c>
      <x:c r="B16" s="9" t="str">
        <x:v>设备账号、IP、素材路径只在本机私有配置中，按资源编号绑定。</x:v>
      </x:c>
    </x:row>
    <x:row r="17" ht="32" customHeight="1">
      <x:c r="A17" s="4" t="str">
        <x:v>文档性质</x:v>
      </x:c>
      <x:c r="B17" s="4" t="str">
        <x:v>由v0.1评审稿持续维护的可执行主库；332条用例，不代表已经实测通过。</x:v>
      </x:c>
    </x:row>
    <x:row r="18" ht="32" customHeight="1">
      <x:c r="A18" s="9" t="str">
        <x:v>源码基线</x:v>
      </x:c>
      <x:c r="B18" s="9" t="str">
        <x:v>56279153dcc3ca0360cd63560050256408978878；本地工作树作为设计依据；升级后的设备功能需再次核对。</x:v>
      </x:c>
    </x:row>
    <x:row r="19" ht="40" customHeight="1">
      <x:c r="A19" s="4" t="str">
        <x:v>覆盖口径</x:v>
      </x:c>
      <x:c r="B19" s="4" t="str">
        <x:v>覆盖当前菜单/路由、注册API、三套资源目录中的模板和组件；参数表按schema去重并保留平台。不是所有设备组合已经验证，也不代表未来新增功能已覆盖。</x:v>
      </x:c>
    </x:row>
    <x:row r="20" ht="32" customHeight="1">
      <x:c r="A20" s="9" t="str">
        <x:v>主要操作</x:v>
      </x:c>
      <x:c r="B20" s="9" t="str">
        <x:v>新增、上传、编辑、画ROI、启停和查询通过真实浏览器UI完成；API只读核对及非UI接口补测。底层单元测试不能替代客户操作。</x:v>
      </x:c>
    </x:row>
    <x:row r="21" ht="40" customHeight="1">
      <x:c r="A21" s="4" t="str">
        <x:v>结果状态</x:v>
      </x:c>
      <x:c r="B21" s="4" t="str">
        <x:v>通过、失败、阻塞、部分完成、未执行、不适用；未完成检查不能记通过。</x:v>
      </x:c>
    </x:row>
    <x:row r="22" ht="32" customHeight="1">
      <x:c r="A22" s="9" t="str">
        <x:v>P0/P1/P2</x:v>
      </x:c>
      <x:c r="B22" s="9" t="str">
        <x:v>P0阻断核心业务或危及数据完整性；P1重要功能及异常恢复；P2次要体验或条件性外设。优先级是本稿建议，可在评审列修改。</x:v>
      </x:c>
    </x:row>
    <x:row r="23" ht="40" customHeight="1">
      <x:c r="A23" s="4" t="str">
        <x:v>建议发布门禁</x:v>
      </x:c>
      <x:c r="B23" s="4" t="str">
        <x:v>所有适用P0通过；无未关闭严重缺陷；P1失败逐项评审接受才可放行。全量结论必须列出阻塞、未执行、不适用数量；业务精度及性能数值待评审冻结。</x:v>
      </x:c>
    </x:row>
    <x:row r="24" ht="40" customHeight="1">
      <x:c r="A24" s="9" t="str">
        <x:v>参数化执行</x:v>
      </x:c>
      <x:c r="B24" s="9" t="str">
        <x:v>一条含多厂商/编码/正负样本/字段的用例要展开多个实例。实例ID=用例ID+设备别名+协议/编码+样本ID+序号；全部必要实例通过才可标记该用例通过。</x:v>
      </x:c>
    </x:row>
    <x:row r="25" ht="32" customHeight="1">
      <x:c r="A25" s="4" t="str">
        <x:v>精度口径</x:v>
      </x:c>
      <x:c r="B25" s="4" t="str">
        <x:v>样本级正检命中率、误检无告警率与帧级Precision/Recall/mAP分开。基础设施ERROR不混入算法分母但单列；无真值不宣称精度。</x:v>
      </x:c>
    </x:row>
    <x:row r="26" ht="32" customHeight="1">
      <x:c r="A26" s="9" t="str">
        <x:v>建议周期</x:v>
      </x:c>
      <x:c r="B26" s="9" t="str">
        <x:v>每次变更先原生检查和冒烟；按依赖做模块回归；发布做适用全量和建议72h长跑，日常建议24h。时长是评审提案，不是现有承诺。</x:v>
      </x:c>
    </x:row>
    <x:row r="27" ht="32" customHeight="1">
      <x:c r="A27" s="4" t="str">
        <x:v>数据与凭据</x:v>
      </x:c>
      <x:c r="B27" s="4" t="str">
        <x:v>本文件只保留通用用例和资源定义；实际连接信息、凭据及个人素材不提交GitHub。</x:v>
      </x:c>
    </x:row>
    <x:row r="28" ht="40" customHeight="1">
      <x:c r="A28" s="9" t="str">
        <x:v>执行影响</x:v>
      </x:c>
      <x:c r="B28" s="9" t="str">
        <x:v>实际执行遵循用户授权及恢复条件。正式主库不写入某一轮的测试结果。</x:v>
      </x:c>
    </x:row>
    <x:row r="29" ht="32" customHeight="1">
      <x:c r="A29" s="4" t="str">
        <x:v>范围限制</x:v>
      </x:c>
      <x:c r="B29" s="4" t="str">
        <x:v>ONVIF不含PTZ/音频/事件订阅/录像检索；GB不含PTZ/语音/级联/TLS/录像回放等文档未实现能力。NVR录像回放不当作已实现功能。</x:v>
      </x:c>
    </x:row>
    <x:row r="30" ht="32" customHeight="1">
      <x:c r="A30" s="9" t="str">
        <x:v>条件性功能</x:v>
      </x:c>
      <x:c r="B30" s="9" t="str">
        <x:v>物品库菜单隐藏；runMode影响底库/音柱/联动入口；Open与Protected不同；其他平台未提供设备时不扩大实机验收结论。</x:v>
      </x:c>
    </x:row>
    <x:row r="31" ht="40" customHeight="1">
      <x:c r="A31" s="4" t="str">
        <x:v>现有材料复用</x:v>
      </x:c>
      <x:c r="B31" s="4" t="str">
        <x:v>项目test-cases作为基线；ONVIF/GB指南提供边界；image-analysis提供三态语义；accuracy-evaluation提供事件对账；push-test-service提供外部接收夹具。当前任务新增具体设备、旅程、恢复和证据要求。</x:v>
      </x:c>
    </x:row>
    <x:row r="32" ht="32" customHeight="1">
      <x:c r="A32" s="9" t="str">
        <x:v>本次核验</x:v>
      </x:c>
      <x:c r="B32" s="9" t="str">
        <x:v>本文件是唯一维护入口；JSON由编译器生成用于审阅和执行快照。</x:v>
      </x:c>
    </x:row>
    <x:row r="34" ht="42" customHeight="1">
      <x:c r="A34" s="4" t="str">
        <x:v>用例库版本</x:v>
      </x:c>
      <x:c r="B34" s="4" t="str">
        <x:v>1.7.0</x:v>
      </x:c>
    </x:row>
    <x:row r="35" ht="42" customHeight="1">
      <x:c r="A35" s="4" t="str">
        <x:v>工作簿格式</x:v>
      </x:c>
      <x:c r="B35" s="4" t="str">
        <x:v>cosmoedge-casebook-v1</x:v>
      </x:c>
    </x:row>
    <x:row r="36" ht="42" customHeight="1">
      <x:c r="A36" s="4" t="str">
        <x:v>文档类型</x:v>
      </x:c>
      <x:c r="B36" s="4" t="str">
        <x:v>用例库</x:v>
      </x:c>
    </x:row>
    <x:row r="37" ht="42" customHeight="1">
      <x:c r="A37" s="4" t="str">
        <x:v>子检查维护</x:v>
      </x:c>
      <x:c r="B37" s="4" t="str">
        <x:v>设备、参数、组件、接口表直接生成检查项；额外检查写入补充检查。</x:v>
      </x:c>
    </x:row>
    <x:row r="38" ht="42" customHeight="1">
      <x:c r="A38" s="4" t="str">
        <x:v>扩展方法</x:v>
      </x:c>
      <x:c r="B38" s="4" t="str">
        <x:v>追加用例行并填写修订、资源编号和执行器；新增资源在资源与缺口登记。</x:v>
      </x:c>
    </x:row>
    <x:row r="39" ht="42" customHeight="1">
      <x:c r="A39" s="4" t="str">
        <x:v>结果回填</x:v>
      </x:c>
      <x:c r="B39" s="4" t="str">
        <x:v>按用例ID匹配，独立输出结果XLSX；排序不影响结果归属。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27" hidden="0" customWidth="1"/>
    <x:col min="3" max="3" width="20" hidden="0" customWidth="1"/>
    <x:col min="4" max="4" width="42" hidden="0" customWidth="1"/>
    <x:col min="5" max="5" width="42" hidden="0" customWidth="1"/>
    <x:col min="6" max="6" width="84" hidden="0" customWidth="1"/>
    <x:col min="7" max="7" width="65" hidden="0" customWidth="1"/>
  </x:cols>
  <x:sheetData>
    <x:row r="2" ht="29" customHeight="1">
      <x:c r="A2" s="1" t="str">
        <x:v>12条完整客户旅程</x:v>
      </x:c>
    </x:row>
    <x:row r="4" ht="34" customHeight="1">
      <x:c r="A4" s="8" t="str">
        <x:v>旅程ID</x:v>
      </x:c>
      <x:c r="B4" s="8" t="str">
        <x:v>旅程</x:v>
      </x:c>
      <x:c r="C4" s="8" t="str">
        <x:v>使用者</x:v>
      </x:c>
      <x:c r="D4" s="8" t="str">
        <x:v>业务目标</x:v>
      </x:c>
      <x:c r="E4" s="8" t="str">
        <x:v>关联用例组</x:v>
      </x:c>
      <x:c r="F4" s="8" t="str">
        <x:v>顺序与检查点</x:v>
      </x:c>
      <x:c r="G4" s="8" t="str">
        <x:v>完成条件</x:v>
      </x:c>
    </x:row>
    <x:row r="5" ht="32" customHeight="1">
      <x:c r="A5" s="4" t="str">
        <x:v>J01</x:v>
      </x:c>
      <x:c r="B5" s="4" t="str">
        <x:v>首次使用与接管设备</x:v>
      </x:c>
      <x:c r="C5" s="4" t="str">
        <x:v>实施人员</x:v>
      </x:c>
      <x:c r="D5" s="4" t="str">
        <x:v>登录、看懂设备、建立可恢复基线</x:v>
      </x:c>
      <x:c r="E5" s="4" t="str">
        <x:v>ENV → AUTH → HOME</x:v>
      </x:c>
      <x:c r="F5" s="4" t="str">
        <x:v>确认版本芯片和备份 → 登录或首次引导 → 看资源与菜单 → 修改测试密码并重登 → 保存基线</x:v>
      </x:c>
      <x:c r="G5" s="4" t="str">
        <x:v>能够从浏览器进入各适用功能；旧会话撤销；测试资源与恢复路径明确</x:v>
      </x:c>
    </x:row>
    <x:row r="6" ht="40" customHeight="1">
      <x:c r="A6" s="9" t="str">
        <x:v>J02</x:v>
      </x:c>
      <x:c r="B6" s="9" t="str">
        <x:v>把现场视频接入平台</x:v>
      </x:c>
      <x:c r="C6" s="9" t="str">
        <x:v>实施人员</x:v>
      </x:c>
      <x:c r="D6" s="9" t="str">
        <x:v>四品牌摄像机和NVR四路能独立使用</x:v>
      </x:c>
      <x:c r="E6" s="9" t="str">
        <x:v>CAM → ONVIF → GB</x:v>
      </x:c>
      <x:c r="F6" s="9" t="str">
        <x:v>每厂商RTSP → 每支持设备ONVIF手动/发现 → 三摄像机和NVR国标注册目录点播 → 抓拍及分配任务 → 断流恢复</x:v>
      </x:c>
      <x:c r="G6" s="9" t="str">
        <x:v>逐设备逐协议有画面、处理计数与通道归属；宇视GB明确不适用</x:v>
      </x:c>
    </x:row>
    <x:row r="7" ht="32" customHeight="1">
      <x:c r="A7" s="4" t="str">
        <x:v>J03</x:v>
      </x:c>
      <x:c r="B7" s="4" t="str">
        <x:v>准备模型和业务场景</x:v>
      </x:c>
      <x:c r="C7" s="4" t="str">
        <x:v>算法配置人员</x:v>
      </x:c>
      <x:c r="D7" s="4" t="str">
        <x:v>从模型和模板搭建可运行业务</x:v>
      </x:c>
      <x:c r="E7" s="4" t="str">
        <x:v>MODEL → SCENE → FLOW → FILE → SCH</x:v>
      </x:c>
      <x:c r="F7" s="4" t="str">
        <x:v>检查模型状态 → 导入目标模型 → 模板创建场景 → 编辑节点参数连线 → 导出回读 → 创建计划</x:v>
      </x:c>
      <x:c r="G7" s="4" t="str">
        <x:v>模型实际加载；依赖齐全；保存和回读一致；非法链被拒绝</x:v>
      </x:c>
    </x:row>
    <x:row r="8" ht="40" customHeight="1">
      <x:c r="A8" s="9" t="str">
        <x:v>J04</x:v>
      </x:c>
      <x:c r="B8" s="9" t="str">
        <x:v>调整场景任务达到业务规则</x:v>
      </x:c>
      <x:c r="C8" s="9" t="str">
        <x:v>值班配置人员</x:v>
      </x:c>
      <x:c r="D8" s="9" t="str">
        <x:v>让参数ROI计划真实控制识别与告警</x:v>
      </x:c>
      <x:c r="E8" s="9" t="str">
        <x:v>TASK → ROI → ALG-*</x:v>
      </x:c>
      <x:c r="F8" s="9" t="str">
        <x:v>绑定视频和场景 → 画检测及屏蔽区 → 设阈值时长去重 → 输入内外正负片段 → 改参重播 → 批量应用 → 重启复查</x:v>
      </x:c>
      <x:c r="G8" s="9" t="str">
        <x:v>页面/持久化配置/运行结果三者一致；不同通道互不串改</x:v>
      </x:c>
    </x:row>
    <x:row r="9" ht="40" customHeight="1">
      <x:c r="A9" s="4" t="str">
        <x:v>J05</x:v>
      </x:c>
      <x:c r="B9" s="4" t="str">
        <x:v>人员登记到识别闭环</x:v>
      </x:c>
      <x:c r="C9" s="4" t="str">
        <x:v>管理员与值班人员</x:v>
      </x:c>
      <x:c r="D9" s="4" t="str">
        <x:v>人员照片批量入库，视频识别可核对</x:v>
      </x:c>
      <x:c r="E9" s="4" t="str">
        <x:v>FACE → IMAGE → EVENT</x:v>
      </x:c>
      <x:c r="F9" s="4" t="str">
        <x:v>建匿名人脸库 → 先10图再完整ZIP → 核对成功失败和服务恢复 → 绑定人脸任务 → 播有身份真值视频 → 查事件及抓拍入库</x:v>
      </x:c>
      <x:c r="G9" s="4" t="str">
        <x:v>有效特征、正确身份和事件能串联；没有真值时不能验识别准确率</x:v>
      </x:c>
    </x:row>
    <x:row r="10" ht="40" customHeight="1">
      <x:c r="A10" s="9" t="str">
        <x:v>J06</x:v>
      </x:c>
      <x:c r="B10" s="9" t="str">
        <x:v>工服登记到违规确认</x:v>
      </x:c>
      <x:c r="C10" s="9" t="str">
        <x:v>安全管理人员</x:v>
      </x:c>
      <x:c r="D10" s="9" t="str">
        <x:v>登记工服并区分穿着、未穿和无法判断</x:v>
      </x:c>
      <x:c r="E10" s="9" t="str">
        <x:v>UNIFORM → TASK → IMAGE → EVENT；ITEM条件性</x:v>
      </x:c>
      <x:c r="F10" s="9" t="str">
        <x:v>建工服库 → 用指定PNG检测裁剪入库 → 绑定任务 → 正反例重播 → 查比对证据 → 改库阈值复测</x:v>
      </x:c>
      <x:c r="G10" s="9" t="str">
        <x:v>底库命中与未穿工服业务结论方向正确；空有效库不能形成违规</x:v>
      </x:c>
    </x:row>
    <x:row r="11" ht="40" customHeight="1">
      <x:c r="A11" s="4" t="str">
        <x:v>J07</x:v>
      </x:c>
      <x:c r="B11" s="4" t="str">
        <x:v>上传图片快速分析和比对</x:v>
      </x:c>
      <x:c r="C11" s="4" t="str">
        <x:v>业务使用人员</x:v>
      </x:c>
      <x:c r="D11" s="4" t="str">
        <x:v>单图批量与双图结果明确可解释</x:v>
      </x:c>
      <x:c r="E11" s="4" t="str">
        <x:v>IMAGE → ALG-92* / ALG-93* / ALG-38874</x:v>
      </x:c>
      <x:c r="F11" s="4" t="str">
        <x:v>选图片场景 → 上传单/多图 → 改本次参数 → 看命中证据及调试 → 上传A/B双图 → 设清空阈值 → 修正错误侧</x:v>
      </x:c>
      <x:c r="G11" s="4" t="str">
        <x:v>逐图独立；临时参数不污染默认；双图无效输入不返回成功分数</x:v>
      </x:c>
    </x:row>
    <x:row r="12" ht="40" customHeight="1">
      <x:c r="A12" s="9" t="str">
        <x:v>J08</x:v>
      </x:c>
      <x:c r="B12" s="9" t="str">
        <x:v>监控、查告警与导出复盘</x:v>
      </x:c>
      <x:c r="C12" s="9" t="str">
        <x:v>值班人员</x:v>
      </x:c>
      <x:c r="D12" s="9" t="str">
        <x:v>实时画面、落库记录和统计形成一致证据</x:v>
      </x:c>
      <x:c r="E12" s="9" t="str">
        <x:v>LIVE → EVENT（含EVENT-012/013/014事件上报审核）</x:v>
      </x:c>
      <x:c r="F12" s="9" t="str">
        <x:v>开多窗及叠加 → 触发告警 → 看详情与录像 → 按条件筛选 → 查人脸车辆流量 → 导出对账 → 关闭播放器</x:v>
      </x:c>
      <x:c r="G12" s="9" t="str">
        <x:v>画面和事件归属正确；导出与过滤集合一致；统计有真值可核</x:v>
      </x:c>
    </x:row>
    <x:row r="13" ht="40" customHeight="1">
      <x:c r="A13" s="4" t="str">
        <x:v>J09</x:v>
      </x:c>
      <x:c r="B13" s="4" t="str">
        <x:v>连接业务平台并联动播报</x:v>
      </x:c>
      <x:c r="C13" s="4" t="str">
        <x:v>集成与值班人员</x:v>
      </x:c>
      <x:c r="D13" s="4" t="str">
        <x:v>告警发送到外部平台和真实音柱</x:v>
      </x:c>
      <x:c r="E13" s="4" t="str">
        <x:v>PUSH → AUDIO</x:v>
      </x:c>
      <x:c r="F13" s="4" t="str">
        <x:v>配HTTP/MQTT → 注册心跳 → 触发事件核对接收 → 上传音频加音柱 → 编联动 → 断开恢复外部端点</x:v>
      </x:c>
      <x:c r="G13" s="4" t="str">
        <x:v>保存、发送成功和真实播放分别留证；外部故障不拖垮主业务</x:v>
      </x:c>
    </x:row>
    <x:row r="14" ht="40" customHeight="1">
      <x:c r="A14" s="9" t="str">
        <x:v>J10</x:v>
      </x:c>
      <x:c r="B14" s="9" t="str">
        <x:v>日常运维和定制</x:v>
      </x:c>
      <x:c r="C14" s="9" t="str">
        <x:v>设备管理员</x:v>
      </x:c>
      <x:c r="D14" s="9" t="str">
        <x:v>时间网络画质日志与品牌设置可维护</x:v>
      </x:c>
      <x:c r="E14" s="9" t="str">
        <x:v>SYS → NET</x:v>
      </x:c>
      <x:c r="F14" s="9" t="str">
        <x:v>查设备运行详情 → 校时/NTP → 调告警录像和画质 → 下载日志 → 改Logo → 隔离网络改址再恢复</x:v>
      </x:c>
      <x:c r="G14" s="9" t="str">
        <x:v>设置真正生效且可恢复；网络变更有替代管理路径</x:v>
      </x:c>
    </x:row>
    <x:row r="15" ht="40" customHeight="1">
      <x:c r="A15" s="4" t="str">
        <x:v>J11</x:v>
      </x:c>
      <x:c r="B15" s="4" t="str">
        <x:v>升级版本与故障恢复</x:v>
      </x:c>
      <x:c r="C15" s="4" t="str">
        <x:v>设备管理员</x:v>
      </x:c>
      <x:c r="D15" s="4" t="str">
        <x:v>新版本上线且原业务和数据可恢复</x:v>
      </x:c>
      <x:c r="E15" s="4" t="str">
        <x:v>UPG → AUTH/CAM/GB/FACE/UNIFORM/TASK/PUSH</x:v>
      </x:c>
      <x:c r="F15" s="4" t="str">
        <x:v>冻结基线 → 校验包与空间 → UI上传升级 → 观测离线重启版本 → 核对配置数据 → 跑业务回归 → 受控恢复演练</x:v>
      </x:c>
      <x:c r="G15" s="4" t="str">
        <x:v>bootId与运行版本正确；数据保留逐项核对；坏包不能损坏原应用</x:v>
      </x:c>
    </x:row>
    <x:row r="16" ht="40" customHeight="1">
      <x:c r="A16" s="9" t="str">
        <x:v>J12</x:v>
      </x:c>
      <x:c r="B16" s="9" t="str">
        <x:v>每次修改后持续验收</x:v>
      </x:c>
      <x:c r="C16" s="9" t="str">
        <x:v>研发与测试负责人</x:v>
      </x:c>
      <x:c r="D16" s="9" t="str">
        <x:v>变更可回归、失败可定位、结论有边界</x:v>
      </x:c>
      <x:c r="E16" s="9" t="str">
        <x:v>API → ACC → PERF → REG</x:v>
      </x:c>
      <x:c r="F16" s="9" t="str">
        <x:v>原生检查 → P0冒烟 → 受影响模块 → 冻结数据精度对照 → 实机容量长跑 → 汇总阻塞与缺陷 → 恢复资源</x:v>
      </x:c>
      <x:c r="G16" s="9" t="str">
        <x:v>通过、失败、阻塞、不适用、未执行分开；报告绑定提交设备模型数据</x:v>
      </x:c>
    </x:row>
  </x:sheetData>
  <x:pageMargins left="0.7" right="0.7" top="0.75" bottom="0.75" header="0.3" footer="0.3"/>
  <x:tableParts count="1">
    <x:tablePart xmlns:r="http://schemas.openxmlformats.org/officeDocument/2006/relationships" r:id="Rbbe617a76afe492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7" hidden="0" customWidth="1"/>
    <x:col min="2" max="2" width="16" hidden="0" customWidth="1"/>
    <x:col min="3" max="3" width="24" hidden="0" customWidth="1"/>
    <x:col min="4" max="4" width="10" hidden="0" customWidth="1"/>
    <x:col min="5" max="5" width="42" hidden="0" customWidth="1"/>
    <x:col min="6" max="6" width="58" hidden="0" customWidth="1"/>
    <x:col min="7" max="7" width="45" hidden="0" customWidth="1"/>
    <x:col min="8" max="8" width="90" hidden="0" customWidth="1"/>
    <x:col min="9" max="9" width="90" hidden="0" customWidth="1"/>
    <x:col min="10" max="10" width="50" hidden="0" customWidth="1"/>
    <x:col min="11" max="11" width="48" hidden="0" customWidth="1"/>
    <x:col min="12" max="12" width="40" hidden="0" customWidth="1"/>
    <x:col min="13" max="13" width="26" hidden="0" customWidth="1"/>
    <x:col min="14" max="14" width="52" hidden="0" customWidth="1"/>
    <x:col min="15" max="15" width="65" hidden="0" customWidth="1"/>
    <x:col min="16" max="16" width="15" hidden="0" customWidth="1"/>
    <x:col min="17" max="17" width="45" hidden="0" customWidth="1"/>
    <x:col min="18" max="18" width="55" hidden="0" customWidth="1"/>
    <x:col min="19" max="19" width="20" hidden="0" customWidth="1"/>
    <x:col min="20" max="20" width="10" hidden="0" customWidth="1"/>
    <x:col min="21" max="21" width="65" hidden="0" customWidth="1"/>
    <x:col min="22" max="22" width="31" hidden="0" customWidth="1"/>
    <x:col min="23" max="23" width="65" hidden="0" customWidth="1"/>
    <x:col min="24" max="24" width="45" hidden="0" customWidth="1"/>
    <x:col min="25" max="25" width="55" hidden="0" customWidth="1"/>
    <x:col min="26" max="26" width="20" hidden="0" customWidth="1"/>
    <x:col min="27" max="27" width="26" hidden="0" customWidth="1"/>
    <x:col min="28" max="28" width="45" hidden="0" customWidth="1"/>
    <x:col min="29" max="29" width="35" hidden="0" customWidth="1"/>
  </x:cols>
  <x:sheetData>
    <x:row r="2" ht="29" customHeight="1">
      <x:c r="A2" s="1" t="str">
        <x:v>详细用例与评审记录</x:v>
      </x:c>
    </x:row>
    <x:row r="4" ht="36" customHeight="1">
      <x:c r="A4" s="13" t="str">
        <x:v>用例ID</x:v>
      </x:c>
      <x:c r="B4" s="13" t="str">
        <x:v>旅程</x:v>
      </x:c>
      <x:c r="C4" s="13" t="str">
        <x:v>模块</x:v>
      </x:c>
      <x:c r="D4" s="13" t="str">
        <x:v>优先级</x:v>
      </x:c>
      <x:c r="E4" s="13" t="str">
        <x:v>测试内容</x:v>
      </x:c>
      <x:c r="F4" s="13" t="str">
        <x:v>前置条件</x:v>
      </x:c>
      <x:c r="G4" s="13" t="str">
        <x:v>资源</x:v>
      </x:c>
      <x:c r="H4" s="13" t="str">
        <x:v>操作步骤</x:v>
      </x:c>
      <x:c r="I4" s="13" t="str">
        <x:v>预期结果</x:v>
      </x:c>
      <x:c r="J4" s="13" t="str">
        <x:v>清理恢复</x:v>
      </x:c>
      <x:c r="K4" s="13" t="str">
        <x:v>取证要求</x:v>
      </x:c>
      <x:c r="L4" s="13" t="str">
        <x:v>执行方式</x:v>
      </x:c>
      <x:c r="M4" s="13" t="str">
        <x:v>回归层级</x:v>
      </x:c>
      <x:c r="N4" s="13" t="str">
        <x:v>适用边界</x:v>
      </x:c>
      <x:c r="O4" s="13" t="str">
        <x:v>来源</x:v>
      </x:c>
      <x:c r="P4" s="13" t="str">
        <x:v>执行状态</x:v>
      </x:c>
      <x:c r="Q4" s="13" t="str">
        <x:v>评审意见</x:v>
      </x:c>
      <x:c r="R4" s="13" t="str">
        <x:v>实际结果/证据链接</x:v>
      </x:c>
      <x:c r="S4" s="13" t="str">
        <x:v>缺陷ID</x:v>
      </x:c>
      <x:c r="T4" s="13" t="str">
        <x:v>修订</x:v>
      </x:c>
      <x:c r="U4" s="13" t="str">
        <x:v>资源编号</x:v>
      </x:c>
      <x:c r="V4" s="13" t="str">
        <x:v>执行器</x:v>
      </x:c>
      <x:c r="W4" s="13" t="str">
        <x:v>未通过原因</x:v>
      </x:c>
      <x:c r="X4" s="13" t="str">
        <x:v>失败步骤</x:v>
      </x:c>
      <x:c r="Y4" s="13" t="str">
        <x:v>证据链接</x:v>
      </x:c>
      <x:c r="Z4" s="13" t="str">
        <x:v>测试版本</x:v>
      </x:c>
      <x:c r="AA4" s="13" t="str">
        <x:v>执行时间</x:v>
      </x:c>
      <x:c r="AB4" s="13" t="str">
        <x:v>清理结果</x:v>
      </x:c>
      <x:c r="AC4" s="13" t="str">
        <x:v>记录来源</x:v>
      </x:c>
    </x:row>
    <x:row r="5" ht="53" customHeight="1">
      <x:c r="A5" s="4" t="str">
        <x:v>ENV-001</x:v>
      </x:c>
      <x:c r="B5" s="4" t="str">
        <x:v>J01</x:v>
      </x:c>
      <x:c r="C5" s="4" t="str">
        <x:v>测试准备</x:v>
      </x:c>
      <x:c r="D5" s="4" t="str">
        <x:v>P0</x:v>
      </x:c>
      <x:c r="E5" s="4" t="str">
        <x:v>冻结候选与设备身份</x:v>
      </x:c>
      <x:c r="F5" s="4" t="str">
        <x:v>执行前建立独立测试命名空间 QA_&lt;run&gt;</x:v>
      </x:c>
      <x:c r="G5" s="4" t="str">
        <x:v>DUT；所有素材</x:v>
      </x:c>
      <x:c r="H5" s="4" t="str">
        <x:v>1. 记录 Git commit/tree 和包哈希
2. 查询设备芯片、版本、启动标识、运行模式
3. 核对安装包与模型目标</x:v>
      </x:c>
      <x:c r="I5" s="4" t="str">
        <x:v>版本和芯片有实测记录；未知字段保持未验证；不能由算能品牌推断具体芯片。</x:v>
      </x:c>
      <x:c r="J5" s="4" t="str">
        <x:v>清理本轮临时清单；保留失败证据</x:v>
      </x:c>
      <x:c r="K5" s="4" t="str">
        <x:v>步骤观察、实际结果、证据文件与清理核对</x:v>
      </x:c>
      <x:c r="L5" s="4" t="str">
        <x:v>UI主操作＋API只读核对</x:v>
      </x:c>
      <x:c r="M5" s="4" t="str">
        <x:v>每次变更冒烟</x:v>
      </x:c>
      <x:c r="N5" s="4" t="str">
        <x:v>目标设备具备该能力</x:v>
      </x:c>
      <x:c r="O5" s="4" t="str">
        <x:v>AGENTS.md；docs/guide/test-cases.md</x:v>
      </x:c>
      <x:c r="P5" s="4" t="str">
        <x:v>未执行</x:v>
      </x:c>
      <x:c r="Q5" s="19" t="str"/>
      <x:c r="R5" s="12" t="str"/>
      <x:c r="S5" s="12" t="str"/>
      <x:c r="T5" s="4" t="n">
        <x:v>1</x:v>
      </x:c>
      <x:c r="U5" s="4" t="str">
        <x:v>DUT</x:v>
      </x:c>
      <x:c r="V5" s="4" t="str">
        <x:v>codex-script-and-evidence</x:v>
      </x:c>
      <x:c r="W5" s="4" t="str"/>
      <x:c r="X5" s="4" t="str"/>
      <x:c r="Y5" s="4" t="str"/>
      <x:c r="Z5" s="4" t="str"/>
      <x:c r="AA5" s="4" t="str"/>
      <x:c r="AB5" s="4" t="str"/>
      <x:c r="AC5" s="4" t="str"/>
    </x:row>
    <x:row r="6" ht="53" customHeight="1">
      <x:c r="A6" s="17" t="str">
        <x:v>ENV-002</x:v>
      </x:c>
      <x:c r="B6" s="17" t="str">
        <x:v>J01</x:v>
      </x:c>
      <x:c r="C6" s="17" t="str">
        <x:v>测试准备</x:v>
      </x:c>
      <x:c r="D6" s="17" t="str">
        <x:v>P0</x:v>
      </x:c>
      <x:c r="E6" s="17" t="str">
        <x:v>基线盘点和恢复演练</x:v>
      </x:c>
      <x:c r="F6" s="17" t="str">
        <x:v>执行前建立独立测试命名空间 QA_&lt;run&gt;；具备隔离目标和可用恢复入口</x:v>
      </x:c>
      <x:c r="G6" s="17" t="str">
        <x:v>DUT；所有素材</x:v>
      </x:c>
      <x:c r="H6" s="17" t="str">
        <x:v>1. 导出或私有备份原配置和密钥
2. 盘点通道任务库事件
3. 在隔离实例恢复并复查</x:v>
      </x:c>
      <x:c r="I6" s="17" t="str">
        <x:v>恢复步骤可执行；原对象数量、关键配置与可用性一致；未演练恢复前不执行清空或升级故障注入。</x:v>
      </x:c>
      <x:c r="J6" s="17" t="str">
        <x:v>清理本轮临时清单；保留失败证据</x:v>
      </x:c>
      <x:c r="K6" s="17" t="str">
        <x:v>步骤观察、实际结果、证据文件与清理核对</x:v>
      </x:c>
      <x:c r="L6" s="17" t="str">
        <x:v>UI主操作＋API只读核对</x:v>
      </x:c>
      <x:c r="M6" s="17" t="str">
        <x:v>发布全量/高影响</x:v>
      </x:c>
      <x:c r="N6" s="17" t="str">
        <x:v>目标设备具备该能力</x:v>
      </x:c>
      <x:c r="O6" s="17" t="str">
        <x:v>AGENTS.md；docs/guide/test-cases.md</x:v>
      </x:c>
      <x:c r="P6" s="17" t="str">
        <x:v>未执行</x:v>
      </x:c>
      <x:c r="Q6" s="19" t="str"/>
      <x:c r="R6" s="17" t="str"/>
      <x:c r="S6" s="17" t="str"/>
      <x:c r="T6" s="17" t="n">
        <x:v>1</x:v>
      </x:c>
      <x:c r="U6" s="17" t="str">
        <x:v>DUT</x:v>
      </x:c>
      <x:c r="V6" s="17" t="str">
        <x:v>codex-script-and-evidence</x:v>
      </x:c>
      <x:c r="W6" s="17" t="str"/>
      <x:c r="X6" s="17" t="str"/>
      <x:c r="Y6" s="17" t="str"/>
      <x:c r="Z6" s="17" t="str"/>
      <x:c r="AA6" s="17" t="str"/>
      <x:c r="AB6" s="17" t="str"/>
      <x:c r="AC6" s="17" t="str"/>
    </x:row>
    <x:row r="7" ht="53" customHeight="1">
      <x:c r="A7" s="4" t="str">
        <x:v>ENV-003</x:v>
      </x:c>
      <x:c r="B7" s="4" t="str">
        <x:v>J01</x:v>
      </x:c>
      <x:c r="C7" s="4" t="str">
        <x:v>测试准备</x:v>
      </x:c>
      <x:c r="D7" s="4" t="str">
        <x:v>P0</x:v>
      </x:c>
      <x:c r="E7" s="4" t="str">
        <x:v>素材清单与身份标注</x:v>
      </x:c>
      <x:c r="F7" s="4" t="str">
        <x:v>执行前建立独立测试命名空间 QA_&lt;run&gt;</x:v>
      </x:c>
      <x:c r="G7" s="4" t="str">
        <x:v>DUT；所有素材</x:v>
      </x:c>
      <x:c r="H7" s="4" t="str">
        <x:v>1. 登记图片视频 SHA-256、时长、编码、用途
2. 建立匿名样本ID
3. 指定正负样本和真值</x:v>
      </x:c>
      <x:c r="I7" s="4" t="str">
        <x:v>每个样本可追溯；ZIP条目数不当作人数；无身份真值的室内视频仅用于抓拍与稳定性。</x:v>
      </x:c>
      <x:c r="J7" s="4" t="str">
        <x:v>清理本轮临时清单；保留失败证据</x:v>
      </x:c>
      <x:c r="K7" s="4" t="str">
        <x:v>步骤观察、实际结果、证据文件与清理核对</x:v>
      </x:c>
      <x:c r="L7" s="4" t="str">
        <x:v>UI主操作＋API只读核对</x:v>
      </x:c>
      <x:c r="M7" s="4" t="str">
        <x:v>受影响模块回归</x:v>
      </x:c>
      <x:c r="N7" s="4" t="str">
        <x:v>目标设备具备该能力</x:v>
      </x:c>
      <x:c r="O7" s="4" t="str">
        <x:v>AGENTS.md；docs/guide/test-cases.md</x:v>
      </x:c>
      <x:c r="P7" s="4" t="str">
        <x:v>未执行</x:v>
      </x:c>
      <x:c r="Q7" s="19" t="str"/>
      <x:c r="R7" s="12" t="str"/>
      <x:c r="S7" s="12" t="str"/>
      <x:c r="T7" s="4" t="n">
        <x:v>1</x:v>
      </x:c>
      <x:c r="U7" s="4" t="str">
        <x:v>DUT</x:v>
      </x:c>
      <x:c r="V7" s="4" t="str">
        <x:v>codex-script-and-evidence</x:v>
      </x:c>
      <x:c r="W7" s="4" t="str"/>
      <x:c r="X7" s="4" t="str"/>
      <x:c r="Y7" s="4" t="str"/>
      <x:c r="Z7" s="4" t="str"/>
      <x:c r="AA7" s="4" t="str"/>
      <x:c r="AB7" s="4" t="str"/>
      <x:c r="AC7" s="4" t="str"/>
    </x:row>
    <x:row r="8" ht="53" customHeight="1">
      <x:c r="A8" s="17" t="str">
        <x:v>ENV-004</x:v>
      </x:c>
      <x:c r="B8" s="17" t="str">
        <x:v>J01</x:v>
      </x:c>
      <x:c r="C8" s="17" t="str">
        <x:v>测试准备</x:v>
      </x:c>
      <x:c r="D8" s="17" t="str">
        <x:v>P0</x:v>
      </x:c>
      <x:c r="E8" s="17" t="str">
        <x:v>设备协议资源核对</x:v>
      </x:c>
      <x:c r="F8" s="17" t="str">
        <x:v>执行前建立独立测试命名空间 QA_&lt;run&gt;</x:v>
      </x:c>
      <x:c r="G8" s="17" t="str">
        <x:v>DUT；所有素材</x:v>
      </x:c>
      <x:c r="H8" s="17" t="str">
        <x:v>1. 按资源表逐台登记型号与固件
2. 核对 RTSP/ONVIF/SIP 各自凭据及端口
3. 核对 NVR 通道映射</x:v>
      </x:c>
      <x:c r="I8" s="17" t="str">
        <x:v>网页登录账号不能自动视为 ONVIF 或 SIP 账号；重复编码及共享上级平台字段含义已澄清。</x:v>
      </x:c>
      <x:c r="J8" s="17" t="str">
        <x:v>清理本轮临时清单；保留失败证据</x:v>
      </x:c>
      <x:c r="K8" s="17" t="str">
        <x:v>步骤观察、实际结果、证据文件与清理核对</x:v>
      </x:c>
      <x:c r="L8" s="17" t="str">
        <x:v>UI主操作＋API只读核对</x:v>
      </x:c>
      <x:c r="M8" s="17" t="str">
        <x:v>受影响模块回归</x:v>
      </x:c>
      <x:c r="N8" s="17" t="str">
        <x:v>目标设备具备该能力</x:v>
      </x:c>
      <x:c r="O8" s="17" t="str">
        <x:v>AGENTS.md；docs/guide/test-cases.md</x:v>
      </x:c>
      <x:c r="P8" s="17" t="str">
        <x:v>未执行</x:v>
      </x:c>
      <x:c r="Q8" s="19" t="str"/>
      <x:c r="R8" s="17" t="str"/>
      <x:c r="S8" s="17" t="str"/>
      <x:c r="T8" s="17" t="n">
        <x:v>1</x:v>
      </x:c>
      <x:c r="U8" s="17" t="str">
        <x:v>DUT</x:v>
      </x:c>
      <x:c r="V8" s="17" t="str">
        <x:v>codex-script-and-evidence</x:v>
      </x:c>
      <x:c r="W8" s="17" t="str"/>
      <x:c r="X8" s="17" t="str"/>
      <x:c r="Y8" s="17" t="str"/>
      <x:c r="Z8" s="17" t="str"/>
      <x:c r="AA8" s="17" t="str"/>
      <x:c r="AB8" s="17" t="str"/>
      <x:c r="AC8" s="17" t="str"/>
    </x:row>
    <x:row r="9" ht="53" customHeight="1">
      <x:c r="A9" s="4" t="str">
        <x:v>ENV-005</x:v>
      </x:c>
      <x:c r="B9" s="4" t="str">
        <x:v>J01</x:v>
      </x:c>
      <x:c r="C9" s="4" t="str">
        <x:v>测试准备</x:v>
      </x:c>
      <x:c r="D9" s="4" t="str">
        <x:v>P0</x:v>
      </x:c>
      <x:c r="E9" s="4" t="str">
        <x:v>测试隔离与停止条件</x:v>
      </x:c>
      <x:c r="F9" s="4" t="str">
        <x:v>执行前建立独立测试命名空间 QA_&lt;run&gt;</x:v>
      </x:c>
      <x:c r="G9" s="4" t="str">
        <x:v>DUT；所有素材</x:v>
      </x:c>
      <x:c r="H9" s="4" t="str">
        <x:v>1. 建立只针对本轮对象的清理清单
2. 设定磁盘/温度/资源停止阈值
3. 演练停止任务和恢复连接</x:v>
      </x:c>
      <x:c r="I9" s="4" t="str">
        <x:v>到达约定阈值立即停测且保留日志；不删除历史对象；不可把批量删除当作全局清场。</x:v>
      </x:c>
      <x:c r="J9" s="4" t="str">
        <x:v>清理本轮临时清单；保留失败证据</x:v>
      </x:c>
      <x:c r="K9" s="4" t="str">
        <x:v>步骤观察、实际结果、证据文件与清理核对</x:v>
      </x:c>
      <x:c r="L9" s="4" t="str">
        <x:v>UI主操作＋API只读核对</x:v>
      </x:c>
      <x:c r="M9" s="4" t="str">
        <x:v>发布全量/高影响</x:v>
      </x:c>
      <x:c r="N9" s="4" t="str">
        <x:v>目标设备具备该能力</x:v>
      </x:c>
      <x:c r="O9" s="4" t="str">
        <x:v>AGENTS.md；docs/guide/test-cases.md</x:v>
      </x:c>
      <x:c r="P9" s="4" t="str">
        <x:v>未执行</x:v>
      </x:c>
      <x:c r="Q9" s="19" t="str"/>
      <x:c r="R9" s="12" t="str"/>
      <x:c r="S9" s="12" t="str"/>
      <x:c r="T9" s="4" t="n">
        <x:v>1</x:v>
      </x:c>
      <x:c r="U9" s="4" t="str">
        <x:v>DUT</x:v>
      </x:c>
      <x:c r="V9" s="4" t="str">
        <x:v>codex-script-and-evidence</x:v>
      </x:c>
      <x:c r="W9" s="4" t="str"/>
      <x:c r="X9" s="4" t="str"/>
      <x:c r="Y9" s="4" t="str"/>
      <x:c r="Z9" s="4" t="str"/>
      <x:c r="AA9" s="4" t="str"/>
      <x:c r="AB9" s="4" t="str"/>
      <x:c r="AC9" s="4" t="str"/>
    </x:row>
    <x:row r="10" ht="53" customHeight="1">
      <x:c r="A10" s="17" t="str">
        <x:v>ENV-006</x:v>
      </x:c>
      <x:c r="B10" s="17" t="str">
        <x:v>J01</x:v>
      </x:c>
      <x:c r="C10" s="17" t="str">
        <x:v>测试准备</x:v>
      </x:c>
      <x:c r="D10" s="17" t="str">
        <x:v>P1</x:v>
      </x:c>
      <x:c r="E10" s="17" t="str">
        <x:v>证据脱敏与缺陷复现</x:v>
      </x:c>
      <x:c r="F10" s="17" t="str">
        <x:v>执行前建立独立测试命名空间 QA_&lt;run&gt;</x:v>
      </x:c>
      <x:c r="G10" s="17" t="str">
        <x:v>DUT；所有素材</x:v>
      </x:c>
      <x:c r="H10" s="17" t="str">
        <x:v>1. 完成一个虚拟用例记录
2. 检查截图HAR日志与导出文件
3. 复核版本步骤期望实际和恢复状态</x:v>
      </x:c>
      <x:c r="I10" s="17" t="str">
        <x:v>凭据、token、完整连接信息与真实人脸不进入公开附件；缺陷可按样本ID复现。</x:v>
      </x:c>
      <x:c r="J10" s="17" t="str">
        <x:v>清理本轮临时清单；保留失败证据</x:v>
      </x:c>
      <x:c r="K10" s="17" t="str">
        <x:v>步骤观察、实际结果、证据文件与清理核对</x:v>
      </x:c>
      <x:c r="L10" s="17" t="str">
        <x:v>UI主操作＋API只读核对</x:v>
      </x:c>
      <x:c r="M10" s="17" t="str">
        <x:v>受影响模块回归</x:v>
      </x:c>
      <x:c r="N10" s="17" t="str">
        <x:v>目标设备具备该能力</x:v>
      </x:c>
      <x:c r="O10" s="17" t="str">
        <x:v>AGENTS.md；docs/guide/test-cases.md</x:v>
      </x:c>
      <x:c r="P10" s="17" t="str">
        <x:v>未执行</x:v>
      </x:c>
      <x:c r="Q10" s="19" t="str"/>
      <x:c r="R10" s="17" t="str"/>
      <x:c r="S10" s="17" t="str"/>
      <x:c r="T10" s="17" t="n">
        <x:v>1</x:v>
      </x:c>
      <x:c r="U10" s="17" t="str">
        <x:v>DUT</x:v>
      </x:c>
      <x:c r="V10" s="17" t="str">
        <x:v>codex-script-and-evidence</x:v>
      </x:c>
      <x:c r="W10" s="17" t="str"/>
      <x:c r="X10" s="17" t="str"/>
      <x:c r="Y10" s="17" t="str"/>
      <x:c r="Z10" s="17" t="str"/>
      <x:c r="AA10" s="17" t="str"/>
      <x:c r="AB10" s="17" t="str"/>
      <x:c r="AC10" s="17" t="str"/>
    </x:row>
    <x:row r="11" ht="53" customHeight="1">
      <x:c r="A11" s="4" t="str">
        <x:v>ENV-007</x:v>
      </x:c>
      <x:c r="B11" s="4" t="str">
        <x:v>J01</x:v>
      </x:c>
      <x:c r="C11" s="4" t="str">
        <x:v>测试准备</x:v>
      </x:c>
      <x:c r="D11" s="4" t="str">
        <x:v>P0</x:v>
      </x:c>
      <x:c r="E11" s="4" t="str">
        <x:v>设备能力与适用项锁定</x:v>
      </x:c>
      <x:c r="F11" s="4" t="str">
        <x:v>执行前建立独立测试命名空间 QA_&lt;run&gt;</x:v>
      </x:c>
      <x:c r="G11" s="4" t="str">
        <x:v>DUT；所有素材</x:v>
      </x:c>
      <x:c r="H11" s="4" t="str">
        <x:v>1. 导出菜单、运行模式、已安装模型和模板
2. 与覆盖矩阵逐项比较
3. 标记适用/阻塞/确实不适用</x:v>
      </x:c>
      <x:c r="I11" s="4" t="str">
        <x:v>缺模型或缺素材标记阻塞；不支持协议的设备标记不适用；两者均不计通过。</x:v>
      </x:c>
      <x:c r="J11" s="4" t="str">
        <x:v>清理本轮临时清单；保留失败证据</x:v>
      </x:c>
      <x:c r="K11" s="4" t="str">
        <x:v>步骤观察、实际结果、证据文件与清理核对</x:v>
      </x:c>
      <x:c r="L11" s="4" t="str">
        <x:v>UI主操作＋API只读核对</x:v>
      </x:c>
      <x:c r="M11" s="4" t="str">
        <x:v>受影响模块回归</x:v>
      </x:c>
      <x:c r="N11" s="4" t="str">
        <x:v>目标设备具备该能力</x:v>
      </x:c>
      <x:c r="O11" s="4" t="str">
        <x:v>AGENTS.md；docs/guide/test-cases.md</x:v>
      </x:c>
      <x:c r="P11" s="4" t="str">
        <x:v>未执行</x:v>
      </x:c>
      <x:c r="Q11" s="19" t="str"/>
      <x:c r="R11" s="12" t="str"/>
      <x:c r="S11" s="12" t="str"/>
      <x:c r="T11" s="4" t="n">
        <x:v>1</x:v>
      </x:c>
      <x:c r="U11" s="4" t="str">
        <x:v>DUT；RECOVERY-KIT</x:v>
      </x:c>
      <x:c r="V11" s="4" t="str">
        <x:v>codex-script-and-evidence</x:v>
      </x:c>
      <x:c r="W11" s="4" t="str"/>
      <x:c r="X11" s="4" t="str"/>
      <x:c r="Y11" s="4" t="str"/>
      <x:c r="Z11" s="4" t="str"/>
      <x:c r="AA11" s="4" t="str"/>
      <x:c r="AB11" s="4" t="str"/>
      <x:c r="AC11" s="4" t="str"/>
    </x:row>
    <x:row r="12" ht="68" customHeight="1">
      <x:c r="A12" s="17" t="str">
        <x:v>ENV-008</x:v>
      </x:c>
      <x:c r="B12" s="17" t="str">
        <x:v>J01</x:v>
      </x:c>
      <x:c r="C12" s="17" t="str">
        <x:v>测试准备</x:v>
      </x:c>
      <x:c r="D12" s="17" t="str">
        <x:v>P1</x:v>
      </x:c>
      <x:c r="E12" s="17" t="str">
        <x:v>首次安装到可登录</x:v>
      </x:c>
      <x:c r="F12" s="17" t="str">
        <x:v>执行前建立独立测试命名空间 QA_&lt;run&gt;；空白测试实例及目标专用安装包</x:v>
      </x:c>
      <x:c r="G12" s="17" t="str">
        <x:v>DUT；所有素材</x:v>
      </x:c>
      <x:c r="H12" s="17" t="str">
        <x:v>1. 按当前部署指南安装包
2. 打开 Web 页面
3. 查看资源和任务
4. 重启复查</x:v>
      </x:c>
      <x:c r="I12" s="17" t="str">
        <x:v>资源目录、服务与页面一致；能首次登录；安装与升级分别留证；不在现有设备擅自重装。</x:v>
      </x:c>
      <x:c r="J12" s="17" t="str">
        <x:v>清理本轮临时清单；保留失败证据</x:v>
      </x:c>
      <x:c r="K12" s="17" t="str">
        <x:v>步骤观察、实际结果、证据文件与清理核对</x:v>
      </x:c>
      <x:c r="L12" s="17" t="str">
        <x:v>UI主操作＋API只读核对</x:v>
      </x:c>
      <x:c r="M12" s="17" t="str">
        <x:v>发布全量/高影响</x:v>
      </x:c>
      <x:c r="N12" s="17" t="str">
        <x:v>目标设备具备该能力</x:v>
      </x:c>
      <x:c r="O12" s="17" t="str">
        <x:v>AGENTS.md；docs/guide/test-cases.md</x:v>
      </x:c>
      <x:c r="P12" s="17" t="str">
        <x:v>未执行</x:v>
      </x:c>
      <x:c r="Q12" s="19" t="str"/>
      <x:c r="R12" s="17" t="str"/>
      <x:c r="S12" s="17" t="str"/>
      <x:c r="T12" s="17" t="n">
        <x:v>1</x:v>
      </x:c>
      <x:c r="U12" s="17" t="str">
        <x:v>DUT；RECOVERY-KIT</x:v>
      </x:c>
      <x:c r="V12" s="17" t="str">
        <x:v>codex-script-and-evidence</x:v>
      </x:c>
      <x:c r="W12" s="17" t="str"/>
      <x:c r="X12" s="17" t="str"/>
      <x:c r="Y12" s="17" t="str"/>
      <x:c r="Z12" s="17" t="str"/>
      <x:c r="AA12" s="17" t="str"/>
      <x:c r="AB12" s="17" t="str"/>
      <x:c r="AC12" s="17" t="str"/>
    </x:row>
    <x:row r="13" ht="68" customHeight="1">
      <x:c r="A13" s="4" t="str">
        <x:v>AUTH-001</x:v>
      </x:c>
      <x:c r="B13" s="4" t="str">
        <x:v>J01</x:v>
      </x:c>
      <x:c r="C13" s="4" t="str">
        <x:v>登录与引导</x:v>
      </x:c>
      <x:c r="D13" s="4" t="str">
        <x:v>P0</x:v>
      </x:c>
      <x:c r="E13" s="4" t="str">
        <x:v>有效账号登录并退出</x:v>
      </x:c>
      <x:c r="F13" s="4" t="str">
        <x:v>已确认可用管理入口和账号</x:v>
      </x:c>
      <x:c r="G13" s="4" t="str">
        <x:v>DUT；隔离空白实例</x:v>
      </x:c>
      <x:c r="H13" s="4" t="str">
        <x:v>1. 输入提供的管理账号登录
2. 检查首页
3. 退出
4. 浏览器后退及直接打开任务页</x:v>
      </x:c>
      <x:c r="I13" s="4" t="str">
        <x:v>登录成功；退出后受保护请求不可继续成功；后退不恢复可操作的受保护页面。</x:v>
      </x:c>
      <x:c r="J13" s="4" t="str">
        <x:v>涉及改密时恢复约定测试口令；保留新登录会话</x:v>
      </x:c>
      <x:c r="K13" s="4" t="str">
        <x:v>步骤观察、实际结果、证据文件与清理核对</x:v>
      </x:c>
      <x:c r="L13" s="4" t="str">
        <x:v>UI主操作＋API只读核对</x:v>
      </x:c>
      <x:c r="M13" s="4" t="str">
        <x:v>每次变更冒烟</x:v>
      </x:c>
      <x:c r="N13" s="4" t="str">
        <x:v>目标设备具备该能力</x:v>
      </x:c>
      <x:c r="O13" s="4" t="str">
        <x:v>src/web/src/views/LoginPage.vue；src/api/ApiRouter.cc；docs/guide/test-cases.md</x:v>
      </x:c>
      <x:c r="P13" s="4" t="str">
        <x:v>未执行</x:v>
      </x:c>
      <x:c r="Q13" s="19" t="str"/>
      <x:c r="R13" s="12" t="str"/>
      <x:c r="S13" s="12" t="str"/>
      <x:c r="T13" s="4" t="n">
        <x:v>1</x:v>
      </x:c>
      <x:c r="U13" s="4" t="str">
        <x:v>DUT</x:v>
      </x:c>
      <x:c r="V13" s="4" t="str">
        <x:v>codex-ui-and-evidence</x:v>
      </x:c>
      <x:c r="W13" s="4" t="str"/>
      <x:c r="X13" s="4" t="str"/>
      <x:c r="Y13" s="4" t="str"/>
      <x:c r="Z13" s="4" t="str"/>
      <x:c r="AA13" s="4" t="str"/>
      <x:c r="AB13" s="4" t="str"/>
      <x:c r="AC13" s="4" t="str"/>
    </x:row>
    <x:row r="14" ht="38" customHeight="1">
      <x:c r="A14" s="17" t="str">
        <x:v>AUTH-002</x:v>
      </x:c>
      <x:c r="B14" s="17" t="str">
        <x:v>J01</x:v>
      </x:c>
      <x:c r="C14" s="17" t="str">
        <x:v>登录与引导</x:v>
      </x:c>
      <x:c r="D14" s="17" t="str">
        <x:v>P0</x:v>
      </x:c>
      <x:c r="E14" s="17" t="str">
        <x:v>错误账号密码和空输入</x:v>
      </x:c>
      <x:c r="F14" s="17" t="str">
        <x:v>已确认可用管理入口和账号；使用测试错误值，控制次数避免设备锁定</x:v>
      </x:c>
      <x:c r="G14" s="17" t="str">
        <x:v>DUT；隔离空白实例</x:v>
      </x:c>
      <x:c r="H14" s="17" t="str">
        <x:v>1. 分别提交空值、错误用户名和错误密码
2. 更正后登录</x:v>
      </x:c>
      <x:c r="I14" s="17" t="str">
        <x:v>提示可理解且不透露密码；失败不创建有效会话；正确输入能恢复。</x:v>
      </x:c>
      <x:c r="J14" s="17" t="str">
        <x:v>涉及改密时恢复约定测试口令；保留新登录会话</x:v>
      </x:c>
      <x:c r="K14" s="17" t="str">
        <x:v>步骤观察、实际结果、证据文件与清理核对</x:v>
      </x:c>
      <x:c r="L14" s="17" t="str">
        <x:v>UI主操作＋API只读核对</x:v>
      </x:c>
      <x:c r="M14" s="17" t="str">
        <x:v>受影响模块回归</x:v>
      </x:c>
      <x:c r="N14" s="17" t="str">
        <x:v>目标设备具备该能力</x:v>
      </x:c>
      <x:c r="O14" s="17" t="str">
        <x:v>src/web/src/views/LoginPage.vue；src/api/ApiRouter.cc；docs/guide/test-cases.md</x:v>
      </x:c>
      <x:c r="P14" s="17" t="str">
        <x:v>未执行</x:v>
      </x:c>
      <x:c r="Q14" s="19" t="str"/>
      <x:c r="R14" s="17" t="str"/>
      <x:c r="S14" s="17" t="str"/>
      <x:c r="T14" s="17" t="n">
        <x:v>1</x:v>
      </x:c>
      <x:c r="U14" s="17" t="str">
        <x:v>DUT</x:v>
      </x:c>
      <x:c r="V14" s="17" t="str">
        <x:v>codex-ui-and-evidence</x:v>
      </x:c>
      <x:c r="W14" s="17" t="str"/>
      <x:c r="X14" s="17" t="str"/>
      <x:c r="Y14" s="17" t="str"/>
      <x:c r="Z14" s="17" t="str"/>
      <x:c r="AA14" s="17" t="str"/>
      <x:c r="AB14" s="17" t="str"/>
      <x:c r="AC14" s="17" t="str"/>
    </x:row>
    <x:row r="15" ht="53" customHeight="1">
      <x:c r="A15" s="4" t="str">
        <x:v>AUTH-003</x:v>
      </x:c>
      <x:c r="B15" s="4" t="str">
        <x:v>J01</x:v>
      </x:c>
      <x:c r="C15" s="4" t="str">
        <x:v>登录与引导</x:v>
      </x:c>
      <x:c r="D15" s="4" t="str">
        <x:v>P1</x:v>
      </x:c>
      <x:c r="E15" s="4" t="str">
        <x:v>首次默认密码与引导</x:v>
      </x:c>
      <x:c r="F15" s="4" t="str">
        <x:v>已确认可用管理入口和账号；仅新数据目录，不假定现有设备使用默认密码</x:v>
      </x:c>
      <x:c r="G15" s="4" t="str">
        <x:v>DUT；隔离空白实例</x:v>
      </x:c>
      <x:c r="H15" s="4" t="str">
        <x:v>1. 首次登录
2. 依页面完成必要改密和引导
3. 刷新再登录</x:v>
      </x:c>
      <x:c r="I15" s="4" t="str">
        <x:v>初始状态与完成状态一致；完成持久化；不重复出现已完成引导。</x:v>
      </x:c>
      <x:c r="J15" s="4" t="str">
        <x:v>涉及改密时恢复约定测试口令；保留新登录会话</x:v>
      </x:c>
      <x:c r="K15" s="4" t="str">
        <x:v>步骤观察、实际结果、证据文件与清理核对</x:v>
      </x:c>
      <x:c r="L15" s="4" t="str">
        <x:v>UI主操作＋API只读核对</x:v>
      </x:c>
      <x:c r="M15" s="4" t="str">
        <x:v>受影响模块回归</x:v>
      </x:c>
      <x:c r="N15" s="4" t="str">
        <x:v>目标设备具备该能力</x:v>
      </x:c>
      <x:c r="O15" s="4" t="str">
        <x:v>src/web/src/views/LoginPage.vue；src/api/ApiRouter.cc；docs/guide/test-cases.md</x:v>
      </x:c>
      <x:c r="P15" s="4" t="str">
        <x:v>未执行</x:v>
      </x:c>
      <x:c r="Q15" s="19" t="str"/>
      <x:c r="R15" s="12" t="str"/>
      <x:c r="S15" s="12" t="str"/>
      <x:c r="T15" s="4" t="n">
        <x:v>1</x:v>
      </x:c>
      <x:c r="U15" s="4" t="str">
        <x:v>DUT；ACCOUNT-HANDOFF</x:v>
      </x:c>
      <x:c r="V15" s="4" t="str">
        <x:v>codex-ui-and-evidence</x:v>
      </x:c>
      <x:c r="W15" s="4" t="str"/>
      <x:c r="X15" s="4" t="str"/>
      <x:c r="Y15" s="4" t="str"/>
      <x:c r="Z15" s="4" t="str"/>
      <x:c r="AA15" s="4" t="str"/>
      <x:c r="AB15" s="4" t="str"/>
      <x:c r="AC15" s="4" t="str"/>
    </x:row>
    <x:row r="16" ht="53" customHeight="1">
      <x:c r="A16" s="17" t="str">
        <x:v>AUTH-004</x:v>
      </x:c>
      <x:c r="B16" s="17" t="str">
        <x:v>J01</x:v>
      </x:c>
      <x:c r="C16" s="17" t="str">
        <x:v>登录与引导</x:v>
      </x:c>
      <x:c r="D16" s="17" t="str">
        <x:v>P0</x:v>
      </x:c>
      <x:c r="E16" s="17" t="str">
        <x:v>修改密码撤销旧会话</x:v>
      </x:c>
      <x:c r="F16" s="17" t="str">
        <x:v>已确认可用管理入口和账号；两个浏览器已用同一账号登录</x:v>
      </x:c>
      <x:c r="G16" s="17" t="str">
        <x:v>DUT；隔离空白实例</x:v>
      </x:c>
      <x:c r="H16" s="17" t="str">
        <x:v>1. 在系统或账号入口改密
2. 两窗口分别调用受保护操作
3. 用旧、新口令登录</x:v>
      </x:c>
      <x:c r="I16" s="17" t="str">
        <x:v>旧口令失败；所有旧会话失效；新口令成功；失败改密不得使原口令失效。</x:v>
      </x:c>
      <x:c r="J16" s="17" t="str">
        <x:v>涉及改密时恢复约定测试口令；保留新登录会话</x:v>
      </x:c>
      <x:c r="K16" s="17" t="str">
        <x:v>步骤观察、实际结果、证据文件与清理核对</x:v>
      </x:c>
      <x:c r="L16" s="17" t="str">
        <x:v>UI主操作＋API只读核对</x:v>
      </x:c>
      <x:c r="M16" s="17" t="str">
        <x:v>发布全量/高影响</x:v>
      </x:c>
      <x:c r="N16" s="17" t="str">
        <x:v>目标设备具备该能力</x:v>
      </x:c>
      <x:c r="O16" s="17" t="str">
        <x:v>src/web/src/views/LoginPage.vue；src/api/ApiRouter.cc；docs/guide/test-cases.md</x:v>
      </x:c>
      <x:c r="P16" s="17" t="str">
        <x:v>未执行</x:v>
      </x:c>
      <x:c r="Q16" s="19" t="str"/>
      <x:c r="R16" s="17" t="str"/>
      <x:c r="S16" s="17" t="str"/>
      <x:c r="T16" s="17" t="n">
        <x:v>1</x:v>
      </x:c>
      <x:c r="U16" s="17" t="str">
        <x:v>DUT；ACCOUNT-HANDOFF</x:v>
      </x:c>
      <x:c r="V16" s="17" t="str">
        <x:v>codex-ui-and-evidence</x:v>
      </x:c>
      <x:c r="W16" s="17" t="str"/>
      <x:c r="X16" s="17" t="str"/>
      <x:c r="Y16" s="17" t="str"/>
      <x:c r="Z16" s="17" t="str"/>
      <x:c r="AA16" s="17" t="str"/>
      <x:c r="AB16" s="17" t="str"/>
      <x:c r="AC16" s="17" t="str"/>
    </x:row>
    <x:row r="17" ht="53" customHeight="1">
      <x:c r="A17" s="4" t="str">
        <x:v>AUTH-005</x:v>
      </x:c>
      <x:c r="B17" s="4" t="str">
        <x:v>J01</x:v>
      </x:c>
      <x:c r="C17" s="4" t="str">
        <x:v>登录与引导</x:v>
      </x:c>
      <x:c r="D17" s="4" t="str">
        <x:v>P0</x:v>
      </x:c>
      <x:c r="E17" s="4" t="str">
        <x:v>无效和过期会话</x:v>
      </x:c>
      <x:c r="F17" s="4" t="str">
        <x:v>已确认可用管理入口和账号</x:v>
      </x:c>
      <x:c r="G17" s="4" t="str">
        <x:v>DUT；隔离空白实例</x:v>
      </x:c>
      <x:c r="H17" s="4" t="str">
        <x:v>1. 打开受保护深链接
2. 使用失效会话访问列表
3. 在会话失效时提交保存</x:v>
      </x:c>
      <x:c r="I17" s="4" t="str">
        <x:v>返回明确鉴权失败并回到登录流程；不显示保存成功；重新登录可继续。</x:v>
      </x:c>
      <x:c r="J17" s="4" t="str">
        <x:v>涉及改密时恢复约定测试口令；保留新登录会话</x:v>
      </x:c>
      <x:c r="K17" s="4" t="str">
        <x:v>步骤观察、实际结果、证据文件与清理核对</x:v>
      </x:c>
      <x:c r="L17" s="4" t="str">
        <x:v>UI主操作＋API只读核对</x:v>
      </x:c>
      <x:c r="M17" s="4" t="str">
        <x:v>受影响模块回归</x:v>
      </x:c>
      <x:c r="N17" s="4" t="str">
        <x:v>目标设备具备该能力</x:v>
      </x:c>
      <x:c r="O17" s="4" t="str">
        <x:v>src/web/src/views/LoginPage.vue；src/api/ApiRouter.cc；docs/guide/test-cases.md</x:v>
      </x:c>
      <x:c r="P17" s="4" t="str">
        <x:v>未执行</x:v>
      </x:c>
      <x:c r="Q17" s="19" t="str"/>
      <x:c r="R17" s="12" t="str"/>
      <x:c r="S17" s="12" t="str"/>
      <x:c r="T17" s="4" t="n">
        <x:v>1</x:v>
      </x:c>
      <x:c r="U17" s="4" t="str">
        <x:v>DUT</x:v>
      </x:c>
      <x:c r="V17" s="4" t="str">
        <x:v>codex-ui-and-evidence</x:v>
      </x:c>
      <x:c r="W17" s="4" t="str"/>
      <x:c r="X17" s="4" t="str"/>
      <x:c r="Y17" s="4" t="str"/>
      <x:c r="Z17" s="4" t="str"/>
      <x:c r="AA17" s="4" t="str"/>
      <x:c r="AB17" s="4" t="str"/>
      <x:c r="AC17" s="4" t="str"/>
    </x:row>
    <x:row r="18" ht="53" customHeight="1">
      <x:c r="A18" s="17" t="str">
        <x:v>AUTH-006</x:v>
      </x:c>
      <x:c r="B18" s="17" t="str">
        <x:v>J01</x:v>
      </x:c>
      <x:c r="C18" s="17" t="str">
        <x:v>登录与引导</x:v>
      </x:c>
      <x:c r="D18" s="17" t="str">
        <x:v>P1</x:v>
      </x:c>
      <x:c r="E18" s="17" t="str">
        <x:v>Onboarding 接口边界</x:v>
      </x:c>
      <x:c r="F18" s="17" t="str">
        <x:v>已确认可用管理入口和账号；隔离引导状态</x:v>
      </x:c>
      <x:c r="G18" s="17" t="str">
        <x:v>DUT；隔离空白实例</x:v>
      </x:c>
      <x:c r="H18" s="17" t="str">
        <x:v>1. 匿名查询 Status/Complete
2. 匿名 Reset
3. 登录后 Reset 并重新完成</x:v>
      </x:c>
      <x:c r="I18" s="17" t="str">
        <x:v>Status/Complete 按当前匿名契约工作；Reset 必须鉴权；状态变更可持久化。</x:v>
      </x:c>
      <x:c r="J18" s="17" t="str">
        <x:v>涉及改密时恢复约定测试口令；保留新登录会话</x:v>
      </x:c>
      <x:c r="K18" s="17" t="str">
        <x:v>步骤观察、实际结果、证据文件与清理核对</x:v>
      </x:c>
      <x:c r="L18" s="17" t="str">
        <x:v>UI主操作＋API只读核对</x:v>
      </x:c>
      <x:c r="M18" s="17" t="str">
        <x:v>受影响模块回归</x:v>
      </x:c>
      <x:c r="N18" s="17" t="str">
        <x:v>目标设备具备该能力</x:v>
      </x:c>
      <x:c r="O18" s="17" t="str">
        <x:v>src/web/src/views/LoginPage.vue；src/api/ApiRouter.cc；docs/guide/test-cases.md</x:v>
      </x:c>
      <x:c r="P18" s="17" t="str">
        <x:v>未执行</x:v>
      </x:c>
      <x:c r="Q18" s="19" t="str"/>
      <x:c r="R18" s="17" t="str"/>
      <x:c r="S18" s="17" t="str"/>
      <x:c r="T18" s="17" t="n">
        <x:v>1</x:v>
      </x:c>
      <x:c r="U18" s="17" t="str">
        <x:v>DUT；RECOVERY-KIT</x:v>
      </x:c>
      <x:c r="V18" s="17" t="str">
        <x:v>codex-ui-and-evidence</x:v>
      </x:c>
      <x:c r="W18" s="17" t="str"/>
      <x:c r="X18" s="17" t="str"/>
      <x:c r="Y18" s="17" t="str"/>
      <x:c r="Z18" s="17" t="str"/>
      <x:c r="AA18" s="17" t="str"/>
      <x:c r="AB18" s="17" t="str"/>
      <x:c r="AC18" s="17" t="str"/>
    </x:row>
    <x:row r="19" ht="53" customHeight="1">
      <x:c r="A19" s="4" t="str">
        <x:v>AUTH-007</x:v>
      </x:c>
      <x:c r="B19" s="4" t="str">
        <x:v>J01</x:v>
      </x:c>
      <x:c r="C19" s="4" t="str">
        <x:v>登录与引导</x:v>
      </x:c>
      <x:c r="D19" s="4" t="str">
        <x:v>P0</x:v>
      </x:c>
      <x:c r="E19" s="4" t="str">
        <x:v>浏览器存储和敏感输入</x:v>
      </x:c>
      <x:c r="F19" s="4" t="str">
        <x:v>已确认可用管理入口和账号</x:v>
      </x:c>
      <x:c r="G19" s="4" t="str">
        <x:v>DUT；隔离空白实例</x:v>
      </x:c>
      <x:c r="H19" s="4" t="str">
        <x:v>1. 检查密码默认遮挡
2. 提交设备账号并关闭弹窗
3. 检查持久存储和脱敏日志</x:v>
      </x:c>
      <x:c r="I19" s="4" t="str">
        <x:v>摄像机密码不进入本地持久存储；错误提示和日志不显示凭据；token不进入公开证据。</x:v>
      </x:c>
      <x:c r="J19" s="4" t="str">
        <x:v>涉及改密时恢复约定测试口令；保留新登录会话</x:v>
      </x:c>
      <x:c r="K19" s="4" t="str">
        <x:v>步骤观察、实际结果、证据文件与清理核对</x:v>
      </x:c>
      <x:c r="L19" s="4" t="str">
        <x:v>UI主操作＋API只读核对</x:v>
      </x:c>
      <x:c r="M19" s="4" t="str">
        <x:v>受影响模块回归</x:v>
      </x:c>
      <x:c r="N19" s="4" t="str">
        <x:v>目标设备具备该能力</x:v>
      </x:c>
      <x:c r="O19" s="4" t="str">
        <x:v>src/web/src/views/LoginPage.vue；src/api/ApiRouter.cc；docs/guide/test-cases.md</x:v>
      </x:c>
      <x:c r="P19" s="4" t="str">
        <x:v>未执行</x:v>
      </x:c>
      <x:c r="Q19" s="19" t="str"/>
      <x:c r="R19" s="12" t="str"/>
      <x:c r="S19" s="12" t="str"/>
      <x:c r="T19" s="4" t="n">
        <x:v>1</x:v>
      </x:c>
      <x:c r="U19" s="4" t="str">
        <x:v>DUT</x:v>
      </x:c>
      <x:c r="V19" s="4" t="str">
        <x:v>codex-ui-and-evidence</x:v>
      </x:c>
      <x:c r="W19" s="4" t="str"/>
      <x:c r="X19" s="4" t="str"/>
      <x:c r="Y19" s="4" t="str"/>
      <x:c r="Z19" s="4" t="str"/>
      <x:c r="AA19" s="4" t="str"/>
      <x:c r="AB19" s="4" t="str"/>
      <x:c r="AC19" s="4" t="str"/>
    </x:row>
    <x:row r="20" ht="53" customHeight="1">
      <x:c r="A20" s="17" t="str">
        <x:v>AUTH-008</x:v>
      </x:c>
      <x:c r="B20" s="17" t="str">
        <x:v>J01</x:v>
      </x:c>
      <x:c r="C20" s="17" t="str">
        <x:v>登录与引导</x:v>
      </x:c>
      <x:c r="D20" s="17" t="str">
        <x:v>P1</x:v>
      </x:c>
      <x:c r="E20" s="17" t="str">
        <x:v>页面刷新与无效地址</x:v>
      </x:c>
      <x:c r="F20" s="17" t="str">
        <x:v>已确认可用管理入口和账号</x:v>
      </x:c>
      <x:c r="G20" s="17" t="str">
        <x:v>DUT；隔离空白实例</x:v>
      </x:c>
      <x:c r="H20" s="17" t="str">
        <x:v>1. 登录后依次刷新首页和深链接
2. 访问不存在路由
3. 清会话后重试</x:v>
      </x:c>
      <x:c r="I20" s="17" t="str">
        <x:v>当前路由或约定重定向正确；不白屏；未登录不能通过深链接绕过鉴权。</x:v>
      </x:c>
      <x:c r="J20" s="17" t="str">
        <x:v>涉及改密时恢复约定测试口令；保留新登录会话</x:v>
      </x:c>
      <x:c r="K20" s="17" t="str">
        <x:v>步骤观察、实际结果、证据文件与清理核对</x:v>
      </x:c>
      <x:c r="L20" s="17" t="str">
        <x:v>UI主操作＋API只读核对</x:v>
      </x:c>
      <x:c r="M20" s="17" t="str">
        <x:v>受影响模块回归</x:v>
      </x:c>
      <x:c r="N20" s="17" t="str">
        <x:v>目标设备具备该能力</x:v>
      </x:c>
      <x:c r="O20" s="17" t="str">
        <x:v>src/web/src/views/LoginPage.vue；src/api/ApiRouter.cc；docs/guide/test-cases.md</x:v>
      </x:c>
      <x:c r="P20" s="17" t="str">
        <x:v>未执行</x:v>
      </x:c>
      <x:c r="Q20" s="19" t="str"/>
      <x:c r="R20" s="17" t="str"/>
      <x:c r="S20" s="17" t="str"/>
      <x:c r="T20" s="17" t="n">
        <x:v>1</x:v>
      </x:c>
      <x:c r="U20" s="17" t="str">
        <x:v>DUT</x:v>
      </x:c>
      <x:c r="V20" s="17" t="str">
        <x:v>codex-ui-and-evidence</x:v>
      </x:c>
      <x:c r="W20" s="17" t="str"/>
      <x:c r="X20" s="17" t="str"/>
      <x:c r="Y20" s="17" t="str"/>
      <x:c r="Z20" s="17" t="str"/>
      <x:c r="AA20" s="17" t="str"/>
      <x:c r="AB20" s="17" t="str"/>
      <x:c r="AC20" s="17" t="str"/>
    </x:row>
    <x:row r="21" ht="53" customHeight="1">
      <x:c r="A21" s="4" t="str">
        <x:v>HOME-001</x:v>
      </x:c>
      <x:c r="B21" s="4" t="str">
        <x:v>J01</x:v>
      </x:c>
      <x:c r="C21" s="4" t="str">
        <x:v>首页与通用交互</x:v>
      </x:c>
      <x:c r="D21" s="4" t="str">
        <x:v>P1</x:v>
      </x:c>
      <x:c r="E21" s="4" t="str">
        <x:v>首页资源与计数</x:v>
      </x:c>
      <x:c r="F21" s="4" t="str">
        <x:v>已登录；包含在线离线和运行停止对象</x:v>
      </x:c>
      <x:c r="G21" s="4" t="str">
        <x:v>DUT</x:v>
      </x:c>
      <x:c r="H21" s="4" t="str">
        <x:v>1. 查看设备信息、CPU内存磁盘及加速器指标
2. 启停一个任务
3. 刷新并核对运行详情</x:v>
      </x:c>
      <x:c r="I21" s="4" t="str">
        <x:v>计数与实际对象一致；资源单位正确；无能力的指标不能伪造为正常零值。</x:v>
      </x:c>
      <x:c r="J21" s="4" t="str">
        <x:v>恢复语言和浏览器窗口；关闭额外页面</x:v>
      </x:c>
      <x:c r="K21" s="4" t="str">
        <x:v>步骤观察、实际结果、证据文件与清理核对</x:v>
      </x:c>
      <x:c r="L21" s="4" t="str">
        <x:v>UI主操作＋API只读核对</x:v>
      </x:c>
      <x:c r="M21" s="4" t="str">
        <x:v>每次变更冒烟</x:v>
      </x:c>
      <x:c r="N21" s="4" t="str">
        <x:v>目标设备具备该能力</x:v>
      </x:c>
      <x:c r="O21" s="4" t="str">
        <x:v>src/web/src/views/home/index.vue；src/web/src/views/main/menu.js；src/web/src/router/index.js</x:v>
      </x:c>
      <x:c r="P21" s="4" t="str">
        <x:v>未执行</x:v>
      </x:c>
      <x:c r="Q21" s="19" t="str"/>
      <x:c r="R21" s="12" t="str"/>
      <x:c r="S21" s="12" t="str"/>
      <x:c r="T21" s="4" t="n">
        <x:v>1</x:v>
      </x:c>
      <x:c r="U21" s="4" t="str">
        <x:v>DUT</x:v>
      </x:c>
      <x:c r="V21" s="4" t="str">
        <x:v>codex-ui-and-evidence</x:v>
      </x:c>
      <x:c r="W21" s="4" t="str"/>
      <x:c r="X21" s="4" t="str"/>
      <x:c r="Y21" s="4" t="str"/>
      <x:c r="Z21" s="4" t="str"/>
      <x:c r="AA21" s="4" t="str"/>
      <x:c r="AB21" s="4" t="str"/>
      <x:c r="AC21" s="4" t="str"/>
    </x:row>
    <x:row r="22" ht="53" customHeight="1">
      <x:c r="A22" s="17" t="str">
        <x:v>HOME-002</x:v>
      </x:c>
      <x:c r="B22" s="17" t="str">
        <x:v>J01</x:v>
      </x:c>
      <x:c r="C22" s="17" t="str">
        <x:v>首页与通用交互</x:v>
      </x:c>
      <x:c r="D22" s="17" t="str">
        <x:v>P1</x:v>
      </x:c>
      <x:c r="E22" s="17" t="str">
        <x:v>全部菜单与返回路径</x:v>
      </x:c>
      <x:c r="F22" s="17" t="str">
        <x:v>已登录；包含在线离线和运行停止对象</x:v>
      </x:c>
      <x:c r="G22" s="17" t="str">
        <x:v>DUT</x:v>
      </x:c>
      <x:c r="H22" s="17" t="str">
        <x:v>1. 遍历路由覆盖表的可见菜单和页签
2. 进入详情再返回
3. 检查面包屑及筛选保留</x:v>
      </x:c>
      <x:c r="I22" s="17" t="str">
        <x:v>每个可见入口可达；无空白页面或资源404；隐藏及旧路由按矩阵单独处理。</x:v>
      </x:c>
      <x:c r="J22" s="17" t="str">
        <x:v>恢复语言和浏览器窗口；关闭额外页面</x:v>
      </x:c>
      <x:c r="K22" s="17" t="str">
        <x:v>步骤观察、实际结果、证据文件与清理核对</x:v>
      </x:c>
      <x:c r="L22" s="17" t="str">
        <x:v>UI主操作＋API只读核对</x:v>
      </x:c>
      <x:c r="M22" s="17" t="str">
        <x:v>受影响模块回归</x:v>
      </x:c>
      <x:c r="N22" s="17" t="str">
        <x:v>目标设备具备该能力</x:v>
      </x:c>
      <x:c r="O22" s="17" t="str">
        <x:v>src/web/src/views/home/index.vue；src/web/src/views/main/menu.js；src/web/src/router/index.js</x:v>
      </x:c>
      <x:c r="P22" s="17" t="str">
        <x:v>未执行</x:v>
      </x:c>
      <x:c r="Q22" s="19" t="str"/>
      <x:c r="R22" s="17" t="str"/>
      <x:c r="S22" s="17" t="str"/>
      <x:c r="T22" s="17" t="n">
        <x:v>1</x:v>
      </x:c>
      <x:c r="U22" s="17" t="str">
        <x:v>DUT</x:v>
      </x:c>
      <x:c r="V22" s="17" t="str">
        <x:v>codex-ui-and-evidence</x:v>
      </x:c>
      <x:c r="W22" s="17" t="str"/>
      <x:c r="X22" s="17" t="str"/>
      <x:c r="Y22" s="17" t="str"/>
      <x:c r="Z22" s="17" t="str"/>
      <x:c r="AA22" s="17" t="str"/>
      <x:c r="AB22" s="17" t="str"/>
      <x:c r="AC22" s="17" t="str"/>
    </x:row>
    <x:row r="23" ht="53" customHeight="1">
      <x:c r="A23" s="4" t="str">
        <x:v>HOME-003</x:v>
      </x:c>
      <x:c r="B23" s="4" t="str">
        <x:v>J01</x:v>
      </x:c>
      <x:c r="C23" s="4" t="str">
        <x:v>首页与通用交互</x:v>
      </x:c>
      <x:c r="D23" s="4" t="str">
        <x:v>P1</x:v>
      </x:c>
      <x:c r="E23" s="4" t="str">
        <x:v>中文英文与资源翻译</x:v>
      </x:c>
      <x:c r="F23" s="4" t="str">
        <x:v>已登录；包含在线离线和运行停止对象</x:v>
      </x:c>
      <x:c r="G23" s="4" t="str">
        <x:v>DUT</x:v>
      </x:c>
      <x:c r="H23" s="4" t="str">
        <x:v>1. 切换中英文
2. 打开新增编辑删除弹窗、算法参数及错误提示
3. 刷新</x:v>
      </x:c>
      <x:c r="I23" s="4" t="str">
        <x:v>文案完整、按钮不遮挡、无裸翻译键；业务枚举和保存值不随语言改变。</x:v>
      </x:c>
      <x:c r="J23" s="4" t="str">
        <x:v>恢复语言和浏览器窗口；关闭额外页面</x:v>
      </x:c>
      <x:c r="K23" s="4" t="str">
        <x:v>步骤观察、实际结果、证据文件与清理核对</x:v>
      </x:c>
      <x:c r="L23" s="4" t="str">
        <x:v>UI主操作＋API只读核对</x:v>
      </x:c>
      <x:c r="M23" s="4" t="str">
        <x:v>受影响模块回归</x:v>
      </x:c>
      <x:c r="N23" s="4" t="str">
        <x:v>目标设备具备该能力</x:v>
      </x:c>
      <x:c r="O23" s="4" t="str">
        <x:v>src/web/src/views/home/index.vue；src/web/src/views/main/menu.js；src/web/src/router/index.js</x:v>
      </x:c>
      <x:c r="P23" s="4" t="str">
        <x:v>未执行</x:v>
      </x:c>
      <x:c r="Q23" s="19" t="str"/>
      <x:c r="R23" s="12" t="str"/>
      <x:c r="S23" s="12" t="str"/>
      <x:c r="T23" s="4" t="n">
        <x:v>1</x:v>
      </x:c>
      <x:c r="U23" s="4" t="str">
        <x:v>DUT</x:v>
      </x:c>
      <x:c r="V23" s="4" t="str">
        <x:v>codex-ui-and-evidence</x:v>
      </x:c>
      <x:c r="W23" s="4" t="str"/>
      <x:c r="X23" s="4" t="str"/>
      <x:c r="Y23" s="4" t="str"/>
      <x:c r="Z23" s="4" t="str"/>
      <x:c r="AA23" s="4" t="str"/>
      <x:c r="AB23" s="4" t="str"/>
      <x:c r="AC23" s="4" t="str"/>
    </x:row>
    <x:row r="24" ht="68" customHeight="1">
      <x:c r="A24" s="17" t="str">
        <x:v>HOME-004</x:v>
      </x:c>
      <x:c r="B24" s="17" t="str">
        <x:v>J01</x:v>
      </x:c>
      <x:c r="C24" s="17" t="str">
        <x:v>首页与通用交互</x:v>
      </x:c>
      <x:c r="D24" s="17" t="str">
        <x:v>P1</x:v>
      </x:c>
      <x:c r="E24" s="17" t="str">
        <x:v>表格筛选分页空态</x:v>
      </x:c>
      <x:c r="F24" s="17" t="str">
        <x:v>已登录；包含在线离线和运行停止对象；各有列表功能的页面逐页实例化</x:v>
      </x:c>
      <x:c r="G24" s="17" t="str">
        <x:v>DUT</x:v>
      </x:c>
      <x:c r="H24" s="17" t="str">
        <x:v>1. 按名称及适用条件筛选
2. 翻页改页大小
3. 清空筛选
4. 输入无结果条件</x:v>
      </x:c>
      <x:c r="I24" s="17" t="str">
        <x:v>总数与结果一致；选中项和批量操作范围明确；空态可恢复；不会操作筛选外对象。</x:v>
      </x:c>
      <x:c r="J24" s="17" t="str">
        <x:v>恢复语言和浏览器窗口；关闭额外页面</x:v>
      </x:c>
      <x:c r="K24" s="17" t="str">
        <x:v>步骤观察、实际结果、证据文件与清理核对</x:v>
      </x:c>
      <x:c r="L24" s="17" t="str">
        <x:v>UI主操作＋API只读核对</x:v>
      </x:c>
      <x:c r="M24" s="17" t="str">
        <x:v>受影响模块回归</x:v>
      </x:c>
      <x:c r="N24" s="17" t="str">
        <x:v>目标设备具备该能力</x:v>
      </x:c>
      <x:c r="O24" s="17" t="str">
        <x:v>src/web/src/views/home/index.vue；src/web/src/views/main/menu.js；src/web/src/router/index.js</x:v>
      </x:c>
      <x:c r="P24" s="17" t="str">
        <x:v>未执行</x:v>
      </x:c>
      <x:c r="Q24" s="19" t="str"/>
      <x:c r="R24" s="17" t="str"/>
      <x:c r="S24" s="17" t="str"/>
      <x:c r="T24" s="17" t="n">
        <x:v>1</x:v>
      </x:c>
      <x:c r="U24" s="17" t="str">
        <x:v>DUT</x:v>
      </x:c>
      <x:c r="V24" s="17" t="str">
        <x:v>codex-ui-and-evidence</x:v>
      </x:c>
      <x:c r="W24" s="17" t="str"/>
      <x:c r="X24" s="17" t="str"/>
      <x:c r="Y24" s="17" t="str"/>
      <x:c r="Z24" s="17" t="str"/>
      <x:c r="AA24" s="17" t="str"/>
      <x:c r="AB24" s="17" t="str"/>
      <x:c r="AC24" s="17" t="str"/>
    </x:row>
    <x:row r="25" ht="68" customHeight="1">
      <x:c r="A25" s="4" t="str">
        <x:v>HOME-005</x:v>
      </x:c>
      <x:c r="B25" s="4" t="str">
        <x:v>J01</x:v>
      </x:c>
      <x:c r="C25" s="4" t="str">
        <x:v>首页与通用交互</x:v>
      </x:c>
      <x:c r="D25" s="4" t="str">
        <x:v>P1</x:v>
      </x:c>
      <x:c r="E25" s="4" t="str">
        <x:v>请求中和失败后的交互</x:v>
      </x:c>
      <x:c r="F25" s="4" t="str">
        <x:v>已登录；包含在线离线和运行停止对象；浏览器网络限速或受控断网</x:v>
      </x:c>
      <x:c r="G25" s="4" t="str">
        <x:v>DUT</x:v>
      </x:c>
      <x:c r="H25" s="4" t="str">
        <x:v>1. 双击保存
2. 请求中关闭弹窗
3. 模拟超时后重试
4. 切换页面</x:v>
      </x:c>
      <x:c r="I25" s="4" t="str">
        <x:v>按钮与加载状态正确；不出现虚假成功或重复对象；失败原因可定位，恢复后可重试。</x:v>
      </x:c>
      <x:c r="J25" s="4" t="str">
        <x:v>恢复语言和浏览器窗口；关闭额外页面</x:v>
      </x:c>
      <x:c r="K25" s="4" t="str">
        <x:v>步骤观察、实际结果、证据文件与清理核对</x:v>
      </x:c>
      <x:c r="L25" s="4" t="str">
        <x:v>UI主操作＋API只读核对</x:v>
      </x:c>
      <x:c r="M25" s="4" t="str">
        <x:v>受影响模块回归</x:v>
      </x:c>
      <x:c r="N25" s="4" t="str">
        <x:v>目标设备具备该能力</x:v>
      </x:c>
      <x:c r="O25" s="4" t="str">
        <x:v>src/web/src/views/home/index.vue；src/web/src/views/main/menu.js；src/web/src/router/index.js</x:v>
      </x:c>
      <x:c r="P25" s="4" t="str">
        <x:v>未执行</x:v>
      </x:c>
      <x:c r="Q25" s="19" t="str"/>
      <x:c r="R25" s="12" t="str"/>
      <x:c r="S25" s="12" t="str"/>
      <x:c r="T25" s="4" t="n">
        <x:v>1</x:v>
      </x:c>
      <x:c r="U25" s="4" t="str">
        <x:v>DUT</x:v>
      </x:c>
      <x:c r="V25" s="4" t="str">
        <x:v>codex-ui-and-evidence</x:v>
      </x:c>
      <x:c r="W25" s="4" t="str"/>
      <x:c r="X25" s="4" t="str"/>
      <x:c r="Y25" s="4" t="str"/>
      <x:c r="Z25" s="4" t="str"/>
      <x:c r="AA25" s="4" t="str"/>
      <x:c r="AB25" s="4" t="str"/>
      <x:c r="AC25" s="4" t="str"/>
    </x:row>
    <x:row r="26" ht="53" customHeight="1">
      <x:c r="A26" s="17" t="str">
        <x:v>HOME-006</x:v>
      </x:c>
      <x:c r="B26" s="17" t="str">
        <x:v>J01</x:v>
      </x:c>
      <x:c r="C26" s="17" t="str">
        <x:v>首页与通用交互</x:v>
      </x:c>
      <x:c r="D26" s="17" t="str">
        <x:v>P2</x:v>
      </x:c>
      <x:c r="E26" s="17" t="str">
        <x:v>浏览器与屏幕兼容</x:v>
      </x:c>
      <x:c r="F26" s="17" t="str">
        <x:v>已登录；包含在线离线和运行停止对象；建议 Chrome/Edge 当前稳定版与约定部署浏览器</x:v>
      </x:c>
      <x:c r="G26" s="17" t="str">
        <x:v>DUT</x:v>
      </x:c>
      <x:c r="H26" s="17" t="str">
        <x:v>1. 在1920×1080及1366×768打开主要页面
2. 125%缩放
3. 键盘Tab和弹窗操作</x:v>
      </x:c>
      <x:c r="I26" s="17" t="str">
        <x:v>按钮和必填项可见可达；画布坐标不偏移；播放器支持情况单独记录，浏览器版本冻结。</x:v>
      </x:c>
      <x:c r="J26" s="17" t="str">
        <x:v>恢复语言和浏览器窗口；关闭额外页面</x:v>
      </x:c>
      <x:c r="K26" s="17" t="str">
        <x:v>步骤观察、实际结果、证据文件与清理核对</x:v>
      </x:c>
      <x:c r="L26" s="17" t="str">
        <x:v>UI主操作＋API只读核对</x:v>
      </x:c>
      <x:c r="M26" s="17" t="str">
        <x:v>受影响模块回归</x:v>
      </x:c>
      <x:c r="N26" s="17" t="str">
        <x:v>目标设备具备该能力</x:v>
      </x:c>
      <x:c r="O26" s="17" t="str">
        <x:v>src/web/src/views/home/index.vue；src/web/src/views/main/menu.js；src/web/src/router/index.js</x:v>
      </x:c>
      <x:c r="P26" s="17" t="str">
        <x:v>未执行</x:v>
      </x:c>
      <x:c r="Q26" s="19" t="str"/>
      <x:c r="R26" s="17" t="str"/>
      <x:c r="S26" s="17" t="str"/>
      <x:c r="T26" s="17" t="n">
        <x:v>1</x:v>
      </x:c>
      <x:c r="U26" s="17" t="str">
        <x:v>DUT</x:v>
      </x:c>
      <x:c r="V26" s="17" t="str">
        <x:v>codex-ui-and-evidence</x:v>
      </x:c>
      <x:c r="W26" s="17" t="str"/>
      <x:c r="X26" s="17" t="str"/>
      <x:c r="Y26" s="17" t="str"/>
      <x:c r="Z26" s="17" t="str"/>
      <x:c r="AA26" s="17" t="str"/>
      <x:c r="AB26" s="17" t="str"/>
      <x:c r="AC26" s="17" t="str"/>
    </x:row>
    <x:row r="27" ht="68" customHeight="1">
      <x:c r="A27" s="4" t="str">
        <x:v>CAM-001</x:v>
      </x:c>
      <x:c r="B27" s="4" t="str">
        <x:v>J02</x:v>
      </x:c>
      <x:c r="C27" s="4" t="str">
        <x:v>视频源基础接入</x:v>
      </x:c>
      <x:c r="D27" s="4" t="str">
        <x:v>P0</x:v>
      </x:c>
      <x:c r="E27" s="4" t="str">
        <x:v>逐厂商 RTSP 新增预览抓拍</x:v>
      </x:c>
      <x:c r="F27" s="4" t="str">
        <x:v>已登录；合法取流地址由设备读取或用户确认；逐台执行 CAM-HK-A、CAM-DH、CAM-HK-B、CAM-UNV</x:v>
      </x:c>
      <x:c r="G27" s="4" t="str">
        <x:v>四台摄像机；NVR-A；FACE-VIDEO；USB-CAMERA（接入用例必测，开测核对）</x:v>
      </x:c>
      <x:c r="H27" s="4" t="str">
        <x:v>1. 点击新增选择RTSP
2. 填名称和该设备已核对的地址
3. 保存
4. 预览并抓拍</x:v>
      </x:c>
      <x:c r="I27" s="4" t="str">
        <x:v>每台分别得到持续画面和对应截图；在线以解码为准；结果分设备记录，不能一台代表四台。</x:v>
      </x:c>
      <x:c r="J27" s="4" t="str">
        <x:v>停止本轮任务后删除本轮通道；恢复视频重复次数</x:v>
      </x:c>
      <x:c r="K27" s="4" t="str">
        <x:v>步骤观察、实际结果、证据文件与清理核对</x:v>
      </x:c>
      <x:c r="L27" s="4" t="str">
        <x:v>UI主操作＋API只读核对</x:v>
      </x:c>
      <x:c r="M27" s="4" t="str">
        <x:v>每次变更冒烟</x:v>
      </x:c>
      <x:c r="N27" s="4" t="str">
        <x:v>目标设备具备该能力</x:v>
      </x:c>
      <x:c r="O27" s="4" t="str">
        <x:v>src/web/src/views/gam/taskManager/index.vue；src/web/src/api/gam.js；docs/guide/test-cases.md</x:v>
      </x:c>
      <x:c r="P27" s="4" t="str">
        <x:v>未执行</x:v>
      </x:c>
      <x:c r="Q27" s="19" t="str"/>
      <x:c r="R27" s="12" t="str"/>
      <x:c r="S27" s="12" t="str"/>
      <x:c r="T27" s="4" t="n">
        <x:v>2</x:v>
      </x:c>
      <x:c r="U27" s="4" t="str">
        <x:v>DUT；CAM-HK-A；CAM-DH；CAM-HK-B；CAM-UNV；NVR-A</x:v>
      </x:c>
      <x:c r="V27" s="4" t="str">
        <x:v>codex-ui-and-evidence</x:v>
      </x:c>
      <x:c r="W27" s="4" t="str"/>
      <x:c r="X27" s="4" t="str"/>
      <x:c r="Y27" s="4" t="str"/>
      <x:c r="Z27" s="4" t="str"/>
      <x:c r="AA27" s="4" t="str"/>
      <x:c r="AB27" s="4" t="str"/>
      <x:c r="AC27" s="4" t="str"/>
    </x:row>
    <x:row r="28" ht="68" customHeight="1">
      <x:c r="A28" s="17" t="str">
        <x:v>CAM-002</x:v>
      </x:c>
      <x:c r="B28" s="17" t="str">
        <x:v>J02</x:v>
      </x:c>
      <x:c r="C28" s="17" t="str">
        <x:v>视频源基础接入</x:v>
      </x:c>
      <x:c r="D28" s="17" t="str">
        <x:v>P0</x:v>
      </x:c>
      <x:c r="E28" s="17" t="str">
        <x:v>NVR 四路独立接入</x:v>
      </x:c>
      <x:c r="F28" s="17" t="str">
        <x:v>已登录；合法取流地址由设备读取或用户确认；已核对 NVR 逻辑通道与实际画面</x:v>
      </x:c>
      <x:c r="G28" s="17" t="str">
        <x:v>四台摄像机；NVR-A；FACE-VIDEO；USB-CAMERA（接入用例必测，开测核对）</x:v>
      </x:c>
      <x:c r="H28" s="17" t="str">
        <x:v>1. 逐路新增 NVR 的4个视频源
2. 同时预览
3. 指定一路绑定算法
4. 核对通道名与画面</x:v>
      </x:c>
      <x:c r="I28" s="17" t="str">
        <x:v>4路不串流、不串任务、不串告警；通道编码始终按字符串保存。</x:v>
      </x:c>
      <x:c r="J28" s="17" t="str">
        <x:v>停止本轮任务后删除本轮通道；恢复视频重复次数</x:v>
      </x:c>
      <x:c r="K28" s="17" t="str">
        <x:v>步骤观察、实际结果、证据文件与清理核对</x:v>
      </x:c>
      <x:c r="L28" s="17" t="str">
        <x:v>UI主操作＋API只读核对</x:v>
      </x:c>
      <x:c r="M28" s="17" t="str">
        <x:v>受影响模块回归</x:v>
      </x:c>
      <x:c r="N28" s="17" t="str">
        <x:v>目标设备具备该能力</x:v>
      </x:c>
      <x:c r="O28" s="17" t="str">
        <x:v>src/web/src/views/gam/taskManager/index.vue；src/web/src/api/gam.js；docs/guide/test-cases.md</x:v>
      </x:c>
      <x:c r="P28" s="17" t="str">
        <x:v>未执行</x:v>
      </x:c>
      <x:c r="Q28" s="19" t="str"/>
      <x:c r="R28" s="17" t="str"/>
      <x:c r="S28" s="17" t="str"/>
      <x:c r="T28" s="17" t="n">
        <x:v>2</x:v>
      </x:c>
      <x:c r="U28" s="17" t="str">
        <x:v>DUT；CAM-HK-A；CAM-DH；CAM-HK-B；CAM-UNV；NVR-A；ONVIF-SETTINGS</x:v>
      </x:c>
      <x:c r="V28" s="17" t="str">
        <x:v>codex-ui-and-evidence</x:v>
      </x:c>
      <x:c r="W28" s="17" t="str"/>
      <x:c r="X28" s="17" t="str"/>
      <x:c r="Y28" s="17" t="str"/>
      <x:c r="Z28" s="17" t="str"/>
      <x:c r="AA28" s="17" t="str"/>
      <x:c r="AB28" s="17" t="str"/>
      <x:c r="AC28" s="17" t="str"/>
    </x:row>
    <x:row r="29" ht="68" customHeight="1">
      <x:c r="A29" s="4" t="str">
        <x:v>CAM-003</x:v>
      </x:c>
      <x:c r="B29" s="4" t="str">
        <x:v>J02</x:v>
      </x:c>
      <x:c r="C29" s="4" t="str">
        <x:v>视频源基础接入</x:v>
      </x:c>
      <x:c r="D29" s="4" t="str">
        <x:v>P0</x:v>
      </x:c>
      <x:c r="E29" s="4" t="str">
        <x:v>本地视频上传与通道建立</x:v>
      </x:c>
      <x:c r="F29" s="4" t="str">
        <x:v>已登录；合法取流地址由设备读取或用户确认；FACE-VIDEO</x:v>
      </x:c>
      <x:c r="G29" s="4" t="str">
        <x:v>四台摄像机；NVR-A；FACE-VIDEO；USB-CAMERA（接入用例必测，开测核对）</x:v>
      </x:c>
      <x:c r="H29" s="4" t="str">
        <x:v>1. 新增本地视频
2. 选择视频上传
3. 保存通道
4. 预览与抓拍</x:v>
      </x:c>
      <x:c r="I29" s="4" t="str">
        <x:v>大于单分片的视频完成分片传输；显示完整进度；保存后可解码，临时路径不外泄。</x:v>
      </x:c>
      <x:c r="J29" s="4" t="str">
        <x:v>停止本轮任务后删除本轮通道；恢复视频重复次数</x:v>
      </x:c>
      <x:c r="K29" s="4" t="str">
        <x:v>步骤观察、实际结果、证据文件与清理核对</x:v>
      </x:c>
      <x:c r="L29" s="4" t="str">
        <x:v>UI主操作＋API只读核对</x:v>
      </x:c>
      <x:c r="M29" s="4" t="str">
        <x:v>每次变更冒烟</x:v>
      </x:c>
      <x:c r="N29" s="4" t="str">
        <x:v>目标设备具备该能力</x:v>
      </x:c>
      <x:c r="O29" s="4" t="str">
        <x:v>src/web/src/views/gam/taskManager/index.vue；src/web/src/api/gam.js；docs/guide/test-cases.md</x:v>
      </x:c>
      <x:c r="P29" s="4" t="str">
        <x:v>未执行</x:v>
      </x:c>
      <x:c r="Q29" s="19" t="str"/>
      <x:c r="R29" s="12" t="str"/>
      <x:c r="S29" s="12" t="str"/>
      <x:c r="T29" s="4" t="n">
        <x:v>2</x:v>
      </x:c>
      <x:c r="U29" s="4" t="str">
        <x:v>DUT；CAM-HK-A；CAM-DH；CAM-HK-B；CAM-UNV；NVR-A；FACE-VIDEO</x:v>
      </x:c>
      <x:c r="V29" s="4" t="str">
        <x:v>codex-ui-and-evidence</x:v>
      </x:c>
      <x:c r="W29" s="4" t="str"/>
      <x:c r="X29" s="4" t="str"/>
      <x:c r="Y29" s="4" t="str"/>
      <x:c r="Z29" s="4" t="str"/>
      <x:c r="AA29" s="4" t="str"/>
      <x:c r="AB29" s="4" t="str"/>
      <x:c r="AC29" s="4" t="str"/>
    </x:row>
    <x:row r="30" ht="53" customHeight="1">
      <x:c r="A30" s="17" t="str">
        <x:v>CAM-004</x:v>
      </x:c>
      <x:c r="B30" s="17" t="str">
        <x:v>J02</x:v>
      </x:c>
      <x:c r="C30" s="17" t="str">
        <x:v>视频源基础接入</x:v>
      </x:c>
      <x:c r="D30" s="17" t="str">
        <x:v>P1</x:v>
      </x:c>
      <x:c r="E30" s="17" t="str">
        <x:v>本地视频总播放次数</x:v>
      </x:c>
      <x:c r="F30" s="17" t="str">
        <x:v>已登录；合法取流地址由设备读取或用户确认；短视频更适合次数核对</x:v>
      </x:c>
      <x:c r="G30" s="17" t="str">
        <x:v>四台摄像机；NVR-A；FACE-VIDEO；USB-CAMERA（接入用例必测，开测核对）</x:v>
      </x:c>
      <x:c r="H30" s="17" t="str">
        <x:v>1. 依次设0、1、2次
2. 等待片尾并统计循环
3. 提交-1、101及非整数</x:v>
      </x:c>
      <x:c r="I30" s="17" t="str">
        <x:v>0为无限循环；1为一次；2为总两次；0–100外或非整数不持久化。</x:v>
      </x:c>
      <x:c r="J30" s="17" t="str">
        <x:v>停止本轮任务后删除本轮通道；恢复视频重复次数</x:v>
      </x:c>
      <x:c r="K30" s="17" t="str">
        <x:v>步骤观察、实际结果、证据文件与清理核对</x:v>
      </x:c>
      <x:c r="L30" s="17" t="str">
        <x:v>UI主操作＋API只读核对</x:v>
      </x:c>
      <x:c r="M30" s="17" t="str">
        <x:v>受影响模块回归</x:v>
      </x:c>
      <x:c r="N30" s="17" t="str">
        <x:v>目标设备具备该能力</x:v>
      </x:c>
      <x:c r="O30" s="17" t="str">
        <x:v>src/web/src/views/gam/taskManager/index.vue；src/web/src/api/gam.js；docs/guide/test-cases.md</x:v>
      </x:c>
      <x:c r="P30" s="17" t="str">
        <x:v>未执行</x:v>
      </x:c>
      <x:c r="Q30" s="19" t="str"/>
      <x:c r="R30" s="17" t="str"/>
      <x:c r="S30" s="17" t="str"/>
      <x:c r="T30" s="17" t="n">
        <x:v>2</x:v>
      </x:c>
      <x:c r="U30" s="17" t="str">
        <x:v>DUT；CAM-HK-A；CAM-DH；CAM-HK-B；CAM-UNV；NVR-A；FACE-VIDEO</x:v>
      </x:c>
      <x:c r="V30" s="17" t="str">
        <x:v>codex-ui-and-evidence</x:v>
      </x:c>
      <x:c r="W30" s="17" t="str"/>
      <x:c r="X30" s="17" t="str"/>
      <x:c r="Y30" s="17" t="str"/>
      <x:c r="Z30" s="17" t="str"/>
      <x:c r="AA30" s="17" t="str"/>
      <x:c r="AB30" s="17" t="str"/>
      <x:c r="AC30" s="17" t="str"/>
    </x:row>
    <x:row r="31" ht="68" customHeight="1">
      <x:c r="A31" s="4" t="str">
        <x:v>CAM-005</x:v>
      </x:c>
      <x:c r="B31" s="4" t="str">
        <x:v>J02</x:v>
      </x:c>
      <x:c r="C31" s="4" t="str">
        <x:v>视频源基础接入</x:v>
      </x:c>
      <x:c r="D31" s="4" t="str">
        <x:v>P1</x:v>
      </x:c>
      <x:c r="E31" s="4" t="str">
        <x:v>视频编辑及凭据更换</x:v>
      </x:c>
      <x:c r="F31" s="4" t="str">
        <x:v>已登录；合法取流地址由设备读取或用户确认</x:v>
      </x:c>
      <x:c r="G31" s="4" t="str">
        <x:v>四台摄像机；NVR-A；FACE-VIDEO；USB-CAMERA（接入用例必测，开测核对）</x:v>
      </x:c>
      <x:c r="H31" s="4" t="str">
        <x:v>1. 编辑名称和合法地址
2. 切换到另一测试源
3. 更换错误凭据再更正
4. 刷新</x:v>
      </x:c>
      <x:c r="I31" s="4" t="str">
        <x:v>配置回读一致；新流生效且旧流资源释放；失败有原因；不泄露凭据。</x:v>
      </x:c>
      <x:c r="J31" s="4" t="str">
        <x:v>停止本轮任务后删除本轮通道；恢复视频重复次数</x:v>
      </x:c>
      <x:c r="K31" s="4" t="str">
        <x:v>步骤观察、实际结果、证据文件与清理核对</x:v>
      </x:c>
      <x:c r="L31" s="4" t="str">
        <x:v>UI主操作＋API只读核对</x:v>
      </x:c>
      <x:c r="M31" s="4" t="str">
        <x:v>受影响模块回归</x:v>
      </x:c>
      <x:c r="N31" s="4" t="str">
        <x:v>目标设备具备该能力</x:v>
      </x:c>
      <x:c r="O31" s="4" t="str">
        <x:v>src/web/src/views/gam/taskManager/index.vue；src/web/src/api/gam.js；docs/guide/test-cases.md</x:v>
      </x:c>
      <x:c r="P31" s="4" t="str">
        <x:v>未执行</x:v>
      </x:c>
      <x:c r="Q31" s="19" t="str"/>
      <x:c r="R31" s="12" t="str"/>
      <x:c r="S31" s="12" t="str"/>
      <x:c r="T31" s="4" t="n">
        <x:v>2</x:v>
      </x:c>
      <x:c r="U31" s="4" t="str">
        <x:v>DUT；CAM-HK-A；CAM-DH；CAM-HK-B；CAM-UNV；NVR-A</x:v>
      </x:c>
      <x:c r="V31" s="4" t="str">
        <x:v>codex-ui-and-evidence</x:v>
      </x:c>
      <x:c r="W31" s="4" t="str"/>
      <x:c r="X31" s="4" t="str"/>
      <x:c r="Y31" s="4" t="str"/>
      <x:c r="Z31" s="4" t="str"/>
      <x:c r="AA31" s="4" t="str"/>
      <x:c r="AB31" s="4" t="str"/>
      <x:c r="AC31" s="4" t="str"/>
    </x:row>
    <x:row r="32" ht="53" customHeight="1">
      <x:c r="A32" s="17" t="str">
        <x:v>CAM-006</x:v>
      </x:c>
      <x:c r="B32" s="17" t="str">
        <x:v>J02</x:v>
      </x:c>
      <x:c r="C32" s="17" t="str">
        <x:v>视频源基础接入</x:v>
      </x:c>
      <x:c r="D32" s="17" t="str">
        <x:v>P0</x:v>
      </x:c>
      <x:c r="E32" s="17" t="str">
        <x:v>错误地址和离线设备</x:v>
      </x:c>
      <x:c r="F32" s="17" t="str">
        <x:v>已登录；合法取流地址由设备读取或用户确认；错误值只用于本轮通道</x:v>
      </x:c>
      <x:c r="G32" s="17" t="str">
        <x:v>四台摄像机；NVR-A；FACE-VIDEO；USB-CAMERA（接入用例必测，开测核对）</x:v>
      </x:c>
      <x:c r="H32" s="17" t="str">
        <x:v>1. 输入空地址、不支持协议、不可达端口和错误凭据
2. 保存或预览
3. 恢复正确地址</x:v>
      </x:c>
      <x:c r="I32" s="17" t="str">
        <x:v>错误被拒绝或明确呈现离线原因；不把已保存当作在线；其他通道继续工作。</x:v>
      </x:c>
      <x:c r="J32" s="17" t="str">
        <x:v>停止本轮任务后删除本轮通道；恢复视频重复次数</x:v>
      </x:c>
      <x:c r="K32" s="17" t="str">
        <x:v>步骤观察、实际结果、证据文件与清理核对</x:v>
      </x:c>
      <x:c r="L32" s="17" t="str">
        <x:v>UI主操作＋API只读核对</x:v>
      </x:c>
      <x:c r="M32" s="17" t="str">
        <x:v>受影响模块回归</x:v>
      </x:c>
      <x:c r="N32" s="17" t="str">
        <x:v>目标设备具备该能力</x:v>
      </x:c>
      <x:c r="O32" s="17" t="str">
        <x:v>src/web/src/views/gam/taskManager/index.vue；src/web/src/api/gam.js；docs/guide/test-cases.md</x:v>
      </x:c>
      <x:c r="P32" s="17" t="str">
        <x:v>未执行</x:v>
      </x:c>
      <x:c r="Q32" s="19" t="str"/>
      <x:c r="R32" s="17" t="str"/>
      <x:c r="S32" s="17" t="str"/>
      <x:c r="T32" s="17" t="n">
        <x:v>2</x:v>
      </x:c>
      <x:c r="U32" s="17" t="str">
        <x:v>DUT；CAM-HK-A；CAM-DH；CAM-HK-B；CAM-UNV；NVR-A</x:v>
      </x:c>
      <x:c r="V32" s="17" t="str">
        <x:v>codex-ui-and-evidence</x:v>
      </x:c>
      <x:c r="W32" s="17" t="str"/>
      <x:c r="X32" s="17" t="str"/>
      <x:c r="Y32" s="17" t="str"/>
      <x:c r="Z32" s="17" t="str"/>
      <x:c r="AA32" s="17" t="str"/>
      <x:c r="AB32" s="17" t="str"/>
      <x:c r="AC32" s="17" t="str"/>
    </x:row>
    <x:row r="33" ht="53" customHeight="1">
      <x:c r="A33" s="4" t="str">
        <x:v>CAM-007</x:v>
      </x:c>
      <x:c r="B33" s="4" t="str">
        <x:v>J02</x:v>
      </x:c>
      <x:c r="C33" s="4" t="str">
        <x:v>视频源基础接入</x:v>
      </x:c>
      <x:c r="D33" s="4" t="str">
        <x:v>P1</x:v>
      </x:c>
      <x:c r="E33" s="4" t="str">
        <x:v>码流编码与分辨率组合</x:v>
      </x:c>
      <x:c r="F33" s="4" t="str">
        <x:v>已登录；合法取流地址由设备读取或用户确认；各厂商实际支持的 H264/H265/主子码流；更改摄像机配置需执行授权</x:v>
      </x:c>
      <x:c r="G33" s="4" t="str">
        <x:v>四台摄像机；NVR-A；FACE-VIDEO；USB-CAMERA（接入用例必测，开测核对）</x:v>
      </x:c>
      <x:c r="H33" s="4" t="str">
        <x:v>1. 以相同业务分别接入实际码流
2. 记录编码FPS分辨率GOP
3. 预览和运行算法</x:v>
      </x:c>
      <x:c r="I33" s="4" t="str">
        <x:v>后端解码与浏览器播放分别判定；不支持的组合有提示；H265不因H264通过而推定通过。</x:v>
      </x:c>
      <x:c r="J33" s="4" t="str">
        <x:v>停止本轮任务后删除本轮通道；恢复视频重复次数</x:v>
      </x:c>
      <x:c r="K33" s="4" t="str">
        <x:v>步骤观察、实际结果、证据文件与清理核对</x:v>
      </x:c>
      <x:c r="L33" s="4" t="str">
        <x:v>UI主操作＋API只读核对</x:v>
      </x:c>
      <x:c r="M33" s="4" t="str">
        <x:v>受影响模块回归</x:v>
      </x:c>
      <x:c r="N33" s="4" t="str">
        <x:v>目标设备具备该能力</x:v>
      </x:c>
      <x:c r="O33" s="4" t="str">
        <x:v>src/web/src/views/gam/taskManager/index.vue；src/web/src/api/gam.js；docs/guide/test-cases.md</x:v>
      </x:c>
      <x:c r="P33" s="4" t="str">
        <x:v>未执行</x:v>
      </x:c>
      <x:c r="Q33" s="19" t="str"/>
      <x:c r="R33" s="12" t="str"/>
      <x:c r="S33" s="12" t="str"/>
      <x:c r="T33" s="4" t="n">
        <x:v>2</x:v>
      </x:c>
      <x:c r="U33" s="4" t="str">
        <x:v>DUT；CAM-HK-A；CAM-DH；CAM-HK-B；CAM-UNV；NVR-A</x:v>
      </x:c>
      <x:c r="V33" s="4" t="str">
        <x:v>codex-ui-and-evidence</x:v>
      </x:c>
      <x:c r="W33" s="4" t="str"/>
      <x:c r="X33" s="4" t="str"/>
      <x:c r="Y33" s="4" t="str"/>
      <x:c r="Z33" s="4" t="str"/>
      <x:c r="AA33" s="4" t="str"/>
      <x:c r="AB33" s="4" t="str"/>
      <x:c r="AC33" s="4" t="str"/>
    </x:row>
    <x:row r="34" ht="68" customHeight="1">
      <x:c r="A34" s="17" t="str">
        <x:v>CAM-008</x:v>
      </x:c>
      <x:c r="B34" s="17" t="str">
        <x:v>J02</x:v>
      </x:c>
      <x:c r="C34" s="17" t="str">
        <x:v>视频源基础接入</x:v>
      </x:c>
      <x:c r="D34" s="17" t="str">
        <x:v>P0</x:v>
      </x:c>
      <x:c r="E34" s="17" t="str">
        <x:v>断流重连与资源释放</x:v>
      </x:c>
      <x:c r="F34" s="17" t="str">
        <x:v>已登录；合法取流地址由设备读取或用户确认；隔离源或获准断流窗口</x:v>
      </x:c>
      <x:c r="G34" s="17" t="str">
        <x:v>四台摄像机；NVR-A；FACE-VIDEO；USB-CAMERA（接入用例必测，开测核对）</x:v>
      </x:c>
      <x:c r="H34" s="17" t="str">
        <x:v>1. 运行任务并预览
2. 断流30秒再恢复
3. 观察重连
4. 停止任务关闭播放器</x:v>
      </x:c>
      <x:c r="I34" s="17" t="str">
        <x:v>状态转换可见；恢复后处理计数前进；无重复任务和持续增长连接；恢复时长记录为实测。</x:v>
      </x:c>
      <x:c r="J34" s="17" t="str">
        <x:v>停止本轮任务后删除本轮通道；恢复视频重复次数</x:v>
      </x:c>
      <x:c r="K34" s="17" t="str">
        <x:v>步骤观察、实际结果、证据文件与清理核对</x:v>
      </x:c>
      <x:c r="L34" s="17" t="str">
        <x:v>UI主操作＋API只读核对</x:v>
      </x:c>
      <x:c r="M34" s="17" t="str">
        <x:v>受影响模块回归</x:v>
      </x:c>
      <x:c r="N34" s="17" t="str">
        <x:v>目标设备具备该能力</x:v>
      </x:c>
      <x:c r="O34" s="17" t="str">
        <x:v>src/web/src/views/gam/taskManager/index.vue；src/web/src/api/gam.js；docs/guide/test-cases.md</x:v>
      </x:c>
      <x:c r="P34" s="17" t="str">
        <x:v>未执行</x:v>
      </x:c>
      <x:c r="Q34" s="19" t="str"/>
      <x:c r="R34" s="17" t="str"/>
      <x:c r="S34" s="17" t="str"/>
      <x:c r="T34" s="17" t="n">
        <x:v>2</x:v>
      </x:c>
      <x:c r="U34" s="17" t="str">
        <x:v>DUT；CAM-HK-A；CAM-DH；CAM-HK-B；CAM-UNV；NVR-A</x:v>
      </x:c>
      <x:c r="V34" s="17" t="str">
        <x:v>codex-ui-and-evidence</x:v>
      </x:c>
      <x:c r="W34" s="17" t="str"/>
      <x:c r="X34" s="17" t="str"/>
      <x:c r="Y34" s="17" t="str"/>
      <x:c r="Z34" s="17" t="str"/>
      <x:c r="AA34" s="17" t="str"/>
      <x:c r="AB34" s="17" t="str"/>
      <x:c r="AC34" s="17" t="str"/>
    </x:row>
    <x:row r="35" ht="68" customHeight="1">
      <x:c r="A35" s="4" t="str">
        <x:v>CAM-009</x:v>
      </x:c>
      <x:c r="B35" s="4" t="str">
        <x:v>J02</x:v>
      </x:c>
      <x:c r="C35" s="4" t="str">
        <x:v>视频源基础接入</x:v>
      </x:c>
      <x:c r="D35" s="4" t="str">
        <x:v>P1</x:v>
      </x:c>
      <x:c r="E35" s="4" t="str">
        <x:v>单个与批量删除通道</x:v>
      </x:c>
      <x:c r="F35" s="4" t="str">
        <x:v>已登录；合法取流地址由设备读取或用户确认；本轮有无任务通道各一个</x:v>
      </x:c>
      <x:c r="G35" s="4" t="str">
        <x:v>四台摄像机；NVR-A；FACE-VIDEO；USB-CAMERA（接入用例必测，开测核对）</x:v>
      </x:c>
      <x:c r="H35" s="4" t="str">
        <x:v>1. 取消一次删除
2. 单删空通道
3. 批删含任务通道
4. 刷新运行详情</x:v>
      </x:c>
      <x:c r="I35" s="4" t="str">
        <x:v>取消不变更；依赖处理明确且无悬挂活动任务；仅删除选中本轮对象。</x:v>
      </x:c>
      <x:c r="J35" s="4" t="str">
        <x:v>停止本轮任务后删除本轮通道；恢复视频重复次数</x:v>
      </x:c>
      <x:c r="K35" s="4" t="str">
        <x:v>步骤观察、实际结果、证据文件与清理核对</x:v>
      </x:c>
      <x:c r="L35" s="4" t="str">
        <x:v>UI主操作＋API只读核对</x:v>
      </x:c>
      <x:c r="M35" s="4" t="str">
        <x:v>受影响模块回归</x:v>
      </x:c>
      <x:c r="N35" s="4" t="str">
        <x:v>目标设备具备该能力</x:v>
      </x:c>
      <x:c r="O35" s="4" t="str">
        <x:v>src/web/src/views/gam/taskManager/index.vue；src/web/src/api/gam.js；docs/guide/test-cases.md</x:v>
      </x:c>
      <x:c r="P35" s="4" t="str">
        <x:v>未执行</x:v>
      </x:c>
      <x:c r="Q35" s="19" t="str"/>
      <x:c r="R35" s="12" t="str"/>
      <x:c r="S35" s="12" t="str"/>
      <x:c r="T35" s="4" t="n">
        <x:v>2</x:v>
      </x:c>
      <x:c r="U35" s="4" t="str">
        <x:v>DUT；CAM-HK-A；CAM-DH；CAM-HK-B；CAM-UNV；NVR-A</x:v>
      </x:c>
      <x:c r="V35" s="4" t="str">
        <x:v>codex-ui-and-evidence</x:v>
      </x:c>
      <x:c r="W35" s="4" t="str"/>
      <x:c r="X35" s="4" t="str"/>
      <x:c r="Y35" s="4" t="str"/>
      <x:c r="Z35" s="4" t="str"/>
      <x:c r="AA35" s="4" t="str"/>
      <x:c r="AB35" s="4" t="str"/>
      <x:c r="AC35" s="4" t="str"/>
    </x:row>
    <x:row r="36" ht="217.5" customHeight="1">
      <x:c r="A36" s="17" t="str">
        <x:v>CAM-010</x:v>
      </x:c>
      <x:c r="B36" s="17" t="str">
        <x:v>J02</x:v>
      </x:c>
      <x:c r="C36" s="17" t="str">
        <x:v>视频源基础接入</x:v>
      </x:c>
      <x:c r="D36" s="17" t="str">
        <x:v>P1</x:v>
      </x:c>
      <x:c r="E36" s="17" t="str">
        <x:v>USB 摄像头发现、预览与算法运行（必测）</x:v>
      </x:c>
      <x:c r="F36" s="17" t="str">
        <x:v>USB 摄像头已纳入必测，开测核对现有硬件枚举和当前画面；已登录且基础检测场景可运行。不得沿用历史缺资源结论跳过。</x:v>
      </x:c>
      <x:c r="G36" s="17" t="str">
        <x:v>DUT；USB-CAMERA；MODEL-INVENTORY</x:v>
      </x:c>
      <x:c r="H36" s="17" t="str">
        <x:v>1. 刷新USB列表，核对设备标识与现场硬件
2. 选择设备新增本轮通道，预览并抓拍，确认当前画面
3. 绑定基础检测场景，启动后让目标进入画面并观察30–60秒，核对真实检测结果
4. 停止后确认无新增结果，再启动并核对新时间戳结果
5. 具备现场操作条件时受控拔插并恢复；清理本轮对象，保留原有任务</x:v>
      </x:c>
      <x:c r="I36" s="17" t="str">
        <x:v>USB发现、预览、抓拍、算法输出、启停恢复均需实测。设备标识一致且无重复通道；未识别时记录当次证据并排查，不直接按历史资源不足跳过。拔插条件不具备只影响拔插子步骤。</x:v>
      </x:c>
      <x:c r="J36" s="17" t="str">
        <x:v>停止并删除本轮创建的任务和通道；恢复原USB连接及配置；不得停止或删除用户原有任务。</x:v>
      </x:c>
      <x:c r="K36" s="17" t="str">
        <x:v>USB设备标识、当前预览/抓拍、真实目标输出、任务ID与启停时间、拔插条件及恢复清理记录。</x:v>
      </x:c>
      <x:c r="L36" s="17" t="str">
        <x:v>UI主操作＋API只读核对</x:v>
      </x:c>
      <x:c r="M36" s="17" t="str">
        <x:v>受影响模块回归</x:v>
      </x:c>
      <x:c r="N36" s="17" t="str">
        <x:v>具备USB输入的目标必须执行；仅真实不支持该能力的其他平台可凭证据判不适用。</x:v>
      </x:c>
      <x:c r="O36" s="17" t="str">
        <x:v>src/web/src/views/gam/taskManager/index.vue；src/web/src/api/gam.js；docs/guide/test-cases.md</x:v>
      </x:c>
      <x:c r="P36" s="17" t="str">
        <x:v>未执行</x:v>
      </x:c>
      <x:c r="Q36" s="19" t="str"/>
      <x:c r="R36" s="17" t="str"/>
      <x:c r="S36" s="17" t="str"/>
      <x:c r="T36" s="17" t="n">
        <x:v>2</x:v>
      </x:c>
      <x:c r="U36" s="17" t="str">
        <x:v>DUT；USB-CAMERA；MODEL-INVENTORY</x:v>
      </x:c>
      <x:c r="V36" s="17" t="str">
        <x:v>codex-ui-and-evidence</x:v>
      </x:c>
      <x:c r="W36" s="17" t="str"/>
      <x:c r="X36" s="17" t="str"/>
      <x:c r="Y36" s="17" t="str"/>
      <x:c r="Z36" s="17" t="str"/>
      <x:c r="AA36" s="17" t="str"/>
      <x:c r="AB36" s="17" t="str"/>
      <x:c r="AC36" s="17" t="str"/>
    </x:row>
    <x:row r="37" ht="53" customHeight="1">
      <x:c r="A37" s="4" t="str">
        <x:v>CAM-011</x:v>
      </x:c>
      <x:c r="B37" s="4" t="str">
        <x:v>J02</x:v>
      </x:c>
      <x:c r="C37" s="4" t="str">
        <x:v>视频源基础接入</x:v>
      </x:c>
      <x:c r="D37" s="4" t="str">
        <x:v>P1</x:v>
      </x:c>
      <x:c r="E37" s="4" t="str">
        <x:v>文件格式异常</x:v>
      </x:c>
      <x:c r="F37" s="4" t="str">
        <x:v>已登录；合法取流地址由设备读取或用户确认；损坏MP4、无视频轨、空文件与后缀伪装的隔离副本</x:v>
      </x:c>
      <x:c r="G37" s="4" t="str">
        <x:v>四台摄像机；NVR-A；FACE-VIDEO；USB-CAMERA（接入用例必测，开测核对）</x:v>
      </x:c>
      <x:c r="H37" s="4" t="str">
        <x:v>1. 逐个上传并创建通道
2. 查看提示
3. 上传有效视频</x:v>
      </x:c>
      <x:c r="I37" s="4" t="str">
        <x:v>非法输入不崩溃不遗留占用；不能只凭扩展名接受；有效视频后续仍可用。</x:v>
      </x:c>
      <x:c r="J37" s="4" t="str">
        <x:v>停止本轮任务后删除本轮通道；恢复视频重复次数</x:v>
      </x:c>
      <x:c r="K37" s="4" t="str">
        <x:v>步骤观察、实际结果、证据文件与清理核对</x:v>
      </x:c>
      <x:c r="L37" s="4" t="str">
        <x:v>UI主操作＋API只读核对</x:v>
      </x:c>
      <x:c r="M37" s="4" t="str">
        <x:v>受影响模块回归</x:v>
      </x:c>
      <x:c r="N37" s="4" t="str">
        <x:v>目标设备具备该能力</x:v>
      </x:c>
      <x:c r="O37" s="4" t="str">
        <x:v>src/web/src/views/gam/taskManager/index.vue；src/web/src/api/gam.js；docs/guide/test-cases.md</x:v>
      </x:c>
      <x:c r="P37" s="4" t="str">
        <x:v>未执行</x:v>
      </x:c>
      <x:c r="Q37" s="19" t="str"/>
      <x:c r="R37" s="12" t="str"/>
      <x:c r="S37" s="12" t="str"/>
      <x:c r="T37" s="4" t="n">
        <x:v>2</x:v>
      </x:c>
      <x:c r="U37" s="4" t="str">
        <x:v>DUT；CAM-HK-A；CAM-DH；CAM-HK-B；CAM-UNV；NVR-A；FACE-VIDEO</x:v>
      </x:c>
      <x:c r="V37" s="4" t="str">
        <x:v>codex-ui-and-evidence</x:v>
      </x:c>
      <x:c r="W37" s="4" t="str"/>
      <x:c r="X37" s="4" t="str"/>
      <x:c r="Y37" s="4" t="str"/>
      <x:c r="Z37" s="4" t="str"/>
      <x:c r="AA37" s="4" t="str"/>
      <x:c r="AB37" s="4" t="str"/>
      <x:c r="AC37" s="4" t="str"/>
    </x:row>
    <x:row r="38" ht="53" customHeight="1">
      <x:c r="A38" s="17" t="str">
        <x:v>CAM-012</x:v>
      </x:c>
      <x:c r="B38" s="17" t="str">
        <x:v>J02</x:v>
      </x:c>
      <x:c r="C38" s="17" t="str">
        <x:v>视频源基础接入</x:v>
      </x:c>
      <x:c r="D38" s="17" t="str">
        <x:v>P1</x:v>
      </x:c>
      <x:c r="E38" s="17" t="str">
        <x:v>重复提交与同源多通道</x:v>
      </x:c>
      <x:c r="F38" s="17" t="str">
        <x:v>已登录；合法取流地址由设备读取或用户确认</x:v>
      </x:c>
      <x:c r="G38" s="17" t="str">
        <x:v>四台摄像机；NVR-A；FACE-VIDEO；USB-CAMERA（接入用例必测，开测核对）</x:v>
      </x:c>
      <x:c r="H38" s="17" t="str">
        <x:v>1. 重复点击新增
2. 有意再次添加同源不同名
3. 停止其中一条</x:v>
      </x:c>
      <x:c r="I38" s="17" t="str">
        <x:v>请求重试不产生意外重复；同源是否允许按界面契约明确显示；停一路不误停另一条。</x:v>
      </x:c>
      <x:c r="J38" s="17" t="str">
        <x:v>停止本轮任务后删除本轮通道；恢复视频重复次数</x:v>
      </x:c>
      <x:c r="K38" s="17" t="str">
        <x:v>步骤观察、实际结果、证据文件与清理核对</x:v>
      </x:c>
      <x:c r="L38" s="17" t="str">
        <x:v>UI主操作＋API只读核对</x:v>
      </x:c>
      <x:c r="M38" s="17" t="str">
        <x:v>受影响模块回归</x:v>
      </x:c>
      <x:c r="N38" s="17" t="str">
        <x:v>目标设备具备该能力</x:v>
      </x:c>
      <x:c r="O38" s="17" t="str">
        <x:v>src/web/src/views/gam/taskManager/index.vue；src/web/src/api/gam.js；docs/guide/test-cases.md</x:v>
      </x:c>
      <x:c r="P38" s="17" t="str">
        <x:v>未执行</x:v>
      </x:c>
      <x:c r="Q38" s="19" t="str"/>
      <x:c r="R38" s="17" t="str"/>
      <x:c r="S38" s="17" t="str"/>
      <x:c r="T38" s="17" t="n">
        <x:v>2</x:v>
      </x:c>
      <x:c r="U38" s="17" t="str">
        <x:v>DUT；CAM-HK-A；CAM-DH；CAM-HK-B；CAM-UNV；NVR-A</x:v>
      </x:c>
      <x:c r="V38" s="17" t="str">
        <x:v>codex-ui-and-evidence</x:v>
      </x:c>
      <x:c r="W38" s="17" t="str"/>
      <x:c r="X38" s="17" t="str"/>
      <x:c r="Y38" s="17" t="str"/>
      <x:c r="Z38" s="17" t="str"/>
      <x:c r="AA38" s="17" t="str"/>
      <x:c r="AB38" s="17" t="str"/>
      <x:c r="AC38" s="17" t="str"/>
    </x:row>
    <x:row r="39" ht="68" customHeight="1">
      <x:c r="A39" s="4" t="str">
        <x:v>ONVIF-001</x:v>
      </x:c>
      <x:c r="B39" s="4" t="str">
        <x:v>J02</x:v>
      </x:c>
      <x:c r="C39" s="4" t="str">
        <x:v>ONVIF 接入</x:v>
      </x:c>
      <x:c r="D39" s="4" t="str">
        <x:v>P0</x:v>
      </x:c>
      <x:c r="E39" s="4" t="str">
        <x:v>逐厂商手动添加</x:v>
      </x:c>
      <x:c r="F39" s="4" t="str">
        <x:v>逐台核对 ONVIF 服务及专用账号；不假设管理账号可复用；每个支持ONVIF的设备独立执行</x:v>
      </x:c>
      <x:c r="G39" s="4" t="str">
        <x:v>四台摄像机；NVR-A（能力待核对）</x:v>
      </x:c>
      <x:c r="H39" s="4" t="str">
        <x:v>1. 新增ONVIF选择手动
2. 填名称地址和专用凭据
3. 添加通道
4. 预览抓拍并绑定任务</x:v>
      </x:c>
      <x:c r="I39" s="4" t="str">
        <x:v>查询码流和保存成功后能实际解码；失败不留下新通道；厂商结果分开。</x:v>
      </x:c>
      <x:c r="J39" s="4" t="str">
        <x:v>删除本轮通道；关闭弹窗；恢复测试账号配置</x:v>
      </x:c>
      <x:c r="K39" s="4" t="str">
        <x:v>步骤观察、实际结果、证据文件与清理核对</x:v>
      </x:c>
      <x:c r="L39" s="4" t="str">
        <x:v>UI主操作＋API只读核对</x:v>
      </x:c>
      <x:c r="M39" s="4" t="str">
        <x:v>每次变更冒烟</x:v>
      </x:c>
      <x:c r="N39" s="4" t="str">
        <x:v>目标设备具备该能力</x:v>
      </x:c>
      <x:c r="O39" s="4" t="str">
        <x:v>docs/guide/onvif-access.md；src/web/src/views/gam/taskManager/components/OnvifDialog.vue</x:v>
      </x:c>
      <x:c r="P39" s="4" t="str">
        <x:v>未执行</x:v>
      </x:c>
      <x:c r="Q39" s="19" t="str"/>
      <x:c r="R39" s="12" t="str"/>
      <x:c r="S39" s="12" t="str"/>
      <x:c r="T39" s="4" t="n">
        <x:v>1</x:v>
      </x:c>
      <x:c r="U39" s="4" t="str">
        <x:v>DUT；CAM-HK-A；CAM-DH；CAM-HK-B；CAM-UNV；NVR-A；ONVIF-SETTINGS</x:v>
      </x:c>
      <x:c r="V39" s="4" t="str">
        <x:v>codex-ui-and-evidence</x:v>
      </x:c>
      <x:c r="W39" s="4" t="str"/>
      <x:c r="X39" s="4" t="str"/>
      <x:c r="Y39" s="4" t="str"/>
      <x:c r="Z39" s="4" t="str"/>
      <x:c r="AA39" s="4" t="str"/>
      <x:c r="AB39" s="4" t="str"/>
      <x:c r="AC39" s="4" t="str"/>
    </x:row>
    <x:row r="40" ht="68" customHeight="1">
      <x:c r="A40" s="17" t="str">
        <x:v>ONVIF-002</x:v>
      </x:c>
      <x:c r="B40" s="17" t="str">
        <x:v>J02</x:v>
      </x:c>
      <x:c r="C40" s="17" t="str">
        <x:v>ONVIF 接入</x:v>
      </x:c>
      <x:c r="D40" s="17" t="str">
        <x:v>P0</x:v>
      </x:c>
      <x:c r="E40" s="17" t="str">
        <x:v>自动发现与批量添加</x:v>
      </x:c>
      <x:c r="F40" s="17" t="str">
        <x:v>逐台核对 ONVIF 服务及专用账号；不假设管理账号可复用；边缘设备网卡能到达摄像机组播网段</x:v>
      </x:c>
      <x:c r="G40" s="17" t="str">
        <x:v>四台摄像机；NVR-A（能力待核对）</x:v>
      </x:c>
      <x:c r="H40" s="17" t="str">
        <x:v>1. 选择自动发现
2. 搜索
3. 逐行修改账号名称
4. 勾选多设备添加</x:v>
      </x:c>
      <x:c r="I40" s="17" t="str">
        <x:v>发现由边缘设备执行；搜索阶段不认证；每行凭据独立，默认值不被视为真实账号。</x:v>
      </x:c>
      <x:c r="J40" s="17" t="str">
        <x:v>删除本轮通道；关闭弹窗；恢复测试账号配置</x:v>
      </x:c>
      <x:c r="K40" s="17" t="str">
        <x:v>步骤观察、实际结果、证据文件与清理核对</x:v>
      </x:c>
      <x:c r="L40" s="17" t="str">
        <x:v>UI主操作＋API只读核对</x:v>
      </x:c>
      <x:c r="M40" s="17" t="str">
        <x:v>受影响模块回归</x:v>
      </x:c>
      <x:c r="N40" s="17" t="str">
        <x:v>目标设备具备该能力</x:v>
      </x:c>
      <x:c r="O40" s="17" t="str">
        <x:v>docs/guide/onvif-access.md；src/web/src/views/gam/taskManager/components/OnvifDialog.vue</x:v>
      </x:c>
      <x:c r="P40" s="17" t="str">
        <x:v>未执行</x:v>
      </x:c>
      <x:c r="Q40" s="19" t="str"/>
      <x:c r="R40" s="17" t="str"/>
      <x:c r="S40" s="17" t="str"/>
      <x:c r="T40" s="17" t="n">
        <x:v>1</x:v>
      </x:c>
      <x:c r="U40" s="17" t="str">
        <x:v>DUT；CAM-HK-A；CAM-DH；CAM-HK-B；CAM-UNV；NVR-A</x:v>
      </x:c>
      <x:c r="V40" s="17" t="str">
        <x:v>codex-ui-and-evidence</x:v>
      </x:c>
      <x:c r="W40" s="17" t="str"/>
      <x:c r="X40" s="17" t="str"/>
      <x:c r="Y40" s="17" t="str"/>
      <x:c r="Z40" s="17" t="str"/>
      <x:c r="AA40" s="17" t="str"/>
      <x:c r="AB40" s="17" t="str"/>
      <x:c r="AC40" s="17" t="str"/>
    </x:row>
    <x:row r="41" ht="53" customHeight="1">
      <x:c r="A41" s="4" t="str">
        <x:v>ONVIF-003</x:v>
      </x:c>
      <x:c r="B41" s="4" t="str">
        <x:v>J02</x:v>
      </x:c>
      <x:c r="C41" s="4" t="str">
        <x:v>ONVIF 接入</x:v>
      </x:c>
      <x:c r="D41" s="4" t="str">
        <x:v>P1</x:v>
      </x:c>
      <x:c r="E41" s="4" t="str">
        <x:v>批量部分成功和重试</x:v>
      </x:c>
      <x:c r="F41" s="4" t="str">
        <x:v>逐台核对 ONVIF 服务及专用账号；不假设管理账号可复用；一行正确一行错误凭据</x:v>
      </x:c>
      <x:c r="G41" s="4" t="str">
        <x:v>四台摄像机；NVR-A（能力待核对）</x:v>
      </x:c>
      <x:c r="H41" s="4" t="str">
        <x:v>1. 添加所选设备
2. 查看失败行原因
3. 更正失败行再提交</x:v>
      </x:c>
      <x:c r="I41" s="4" t="str">
        <x:v>成功行保留且不重复；错误落到对应行；其他设备不受失败影响。</x:v>
      </x:c>
      <x:c r="J41" s="4" t="str">
        <x:v>删除本轮通道；关闭弹窗；恢复测试账号配置</x:v>
      </x:c>
      <x:c r="K41" s="4" t="str">
        <x:v>步骤观察、实际结果、证据文件与清理核对</x:v>
      </x:c>
      <x:c r="L41" s="4" t="str">
        <x:v>UI主操作＋API只读核对</x:v>
      </x:c>
      <x:c r="M41" s="4" t="str">
        <x:v>受影响模块回归</x:v>
      </x:c>
      <x:c r="N41" s="4" t="str">
        <x:v>目标设备具备该能力</x:v>
      </x:c>
      <x:c r="O41" s="4" t="str">
        <x:v>docs/guide/onvif-access.md；src/web/src/views/gam/taskManager/components/OnvifDialog.vue</x:v>
      </x:c>
      <x:c r="P41" s="4" t="str">
        <x:v>未执行</x:v>
      </x:c>
      <x:c r="Q41" s="19" t="str"/>
      <x:c r="R41" s="12" t="str"/>
      <x:c r="S41" s="12" t="str"/>
      <x:c r="T41" s="4" t="n">
        <x:v>1</x:v>
      </x:c>
      <x:c r="U41" s="4" t="str">
        <x:v>DUT；CAM-HK-A；CAM-DH；CAM-HK-B；CAM-UNV；NVR-A；ONVIF-SETTINGS</x:v>
      </x:c>
      <x:c r="V41" s="4" t="str">
        <x:v>codex-ui-and-evidence</x:v>
      </x:c>
      <x:c r="W41" s="4" t="str"/>
      <x:c r="X41" s="4" t="str"/>
      <x:c r="Y41" s="4" t="str"/>
      <x:c r="Z41" s="4" t="str"/>
      <x:c r="AA41" s="4" t="str"/>
      <x:c r="AB41" s="4" t="str"/>
      <x:c r="AC41" s="4" t="str"/>
    </x:row>
    <x:row r="42" ht="68" customHeight="1">
      <x:c r="A42" s="17" t="str">
        <x:v>ONVIF-004</x:v>
      </x:c>
      <x:c r="B42" s="17" t="str">
        <x:v>J02</x:v>
      </x:c>
      <x:c r="C42" s="17" t="str">
        <x:v>ONVIF 接入</x:v>
      </x:c>
      <x:c r="D42" s="17" t="str">
        <x:v>P1</x:v>
      </x:c>
      <x:c r="E42" s="17" t="str">
        <x:v>重新搜索保留编辑</x:v>
      </x:c>
      <x:c r="F42" s="17" t="str">
        <x:v>逐台核对 ONVIF 服务及专用账号；不假设管理账号可复用</x:v>
      </x:c>
      <x:c r="G42" s="17" t="str">
        <x:v>四台摄像机；NVR-A（能力待核对）</x:v>
      </x:c>
      <x:c r="H42" s="17" t="str">
        <x:v>1. 搜索后改名称账号
2. 再搜索
3. 添加
4. 关闭重开</x:v>
      </x:c>
      <x:c r="I42" s="17" t="str">
        <x:v>重搜不覆盖已编辑值；成功和关闭后清除内存密码；不持久保存摄像机密码。</x:v>
      </x:c>
      <x:c r="J42" s="17" t="str">
        <x:v>删除本轮通道；关闭弹窗；恢复测试账号配置</x:v>
      </x:c>
      <x:c r="K42" s="17" t="str">
        <x:v>步骤观察、实际结果、证据文件与清理核对</x:v>
      </x:c>
      <x:c r="L42" s="17" t="str">
        <x:v>UI主操作＋API只读核对</x:v>
      </x:c>
      <x:c r="M42" s="17" t="str">
        <x:v>受影响模块回归</x:v>
      </x:c>
      <x:c r="N42" s="17" t="str">
        <x:v>目标设备具备该能力</x:v>
      </x:c>
      <x:c r="O42" s="17" t="str">
        <x:v>docs/guide/onvif-access.md；src/web/src/views/gam/taskManager/components/OnvifDialog.vue</x:v>
      </x:c>
      <x:c r="P42" s="17" t="str">
        <x:v>未执行</x:v>
      </x:c>
      <x:c r="Q42" s="19" t="str"/>
      <x:c r="R42" s="17" t="str"/>
      <x:c r="S42" s="17" t="str"/>
      <x:c r="T42" s="17" t="n">
        <x:v>1</x:v>
      </x:c>
      <x:c r="U42" s="17" t="str">
        <x:v>DUT；CAM-HK-A；CAM-DH；CAM-HK-B；CAM-UNV；NVR-A</x:v>
      </x:c>
      <x:c r="V42" s="17" t="str">
        <x:v>codex-ui-and-evidence</x:v>
      </x:c>
      <x:c r="W42" s="17" t="str"/>
      <x:c r="X42" s="17" t="str"/>
      <x:c r="Y42" s="17" t="str"/>
      <x:c r="Z42" s="17" t="str"/>
      <x:c r="AA42" s="17" t="str"/>
      <x:c r="AB42" s="17" t="str"/>
      <x:c r="AC42" s="17" t="str"/>
    </x:row>
    <x:row r="43" ht="53" customHeight="1">
      <x:c r="A43" s="4" t="str">
        <x:v>ONVIF-005</x:v>
      </x:c>
      <x:c r="B43" s="4" t="str">
        <x:v>J02</x:v>
      </x:c>
      <x:c r="C43" s="4" t="str">
        <x:v>ONVIF 接入</x:v>
      </x:c>
      <x:c r="D43" s="4" t="str">
        <x:v>P1</x:v>
      </x:c>
      <x:c r="E43" s="4" t="str">
        <x:v>自动 Profile 选择</x:v>
      </x:c>
      <x:c r="F43" s="4" t="str">
        <x:v>逐台核对 ONVIF 服务及专用账号；不假设管理账号可复用；多 Profile 设备</x:v>
      </x:c>
      <x:c r="G43" s="4" t="str">
        <x:v>四台摄像机；NVR-A（能力待核对）</x:v>
      </x:c>
      <x:c r="H43" s="4" t="str">
        <x:v>1. 添加设备
2. 读取实际 Profile 与码流信息
3. 对照有效编码分辨率帧率</x:v>
      </x:c>
      <x:c r="I43" s="4" t="str">
        <x:v>优先最高分辨率、再最高FPS、同条件H264；不按名称猜主码流；未改摄像机编码。</x:v>
      </x:c>
      <x:c r="J43" s="4" t="str">
        <x:v>删除本轮通道；关闭弹窗；恢复测试账号配置</x:v>
      </x:c>
      <x:c r="K43" s="4" t="str">
        <x:v>步骤观察、实际结果、证据文件与清理核对</x:v>
      </x:c>
      <x:c r="L43" s="4" t="str">
        <x:v>UI主操作＋API只读核对</x:v>
      </x:c>
      <x:c r="M43" s="4" t="str">
        <x:v>受影响模块回归</x:v>
      </x:c>
      <x:c r="N43" s="4" t="str">
        <x:v>目标设备具备该能力</x:v>
      </x:c>
      <x:c r="O43" s="4" t="str">
        <x:v>docs/guide/onvif-access.md；src/web/src/views/gam/taskManager/components/OnvifDialog.vue</x:v>
      </x:c>
      <x:c r="P43" s="4" t="str">
        <x:v>未执行</x:v>
      </x:c>
      <x:c r="Q43" s="19" t="str"/>
      <x:c r="R43" s="12" t="str"/>
      <x:c r="S43" s="12" t="str"/>
      <x:c r="T43" s="4" t="n">
        <x:v>1</x:v>
      </x:c>
      <x:c r="U43" s="4" t="str">
        <x:v>DUT；CAM-HK-A；CAM-DH；CAM-HK-B；CAM-UNV；NVR-A</x:v>
      </x:c>
      <x:c r="V43" s="4" t="str">
        <x:v>codex-ui-and-evidence</x:v>
      </x:c>
      <x:c r="W43" s="4" t="str"/>
      <x:c r="X43" s="4" t="str"/>
      <x:c r="Y43" s="4" t="str"/>
      <x:c r="Z43" s="4" t="str"/>
      <x:c r="AA43" s="4" t="str"/>
      <x:c r="AB43" s="4" t="str"/>
      <x:c r="AC43" s="4" t="str"/>
    </x:row>
    <x:row r="44" ht="53" customHeight="1">
      <x:c r="A44" s="17" t="str">
        <x:v>ONVIF-006</x:v>
      </x:c>
      <x:c r="B44" s="17" t="str">
        <x:v>J02</x:v>
      </x:c>
      <x:c r="C44" s="17" t="str">
        <x:v>ONVIF 接入</x:v>
      </x:c>
      <x:c r="D44" s="17" t="str">
        <x:v>P1</x:v>
      </x:c>
      <x:c r="E44" s="17" t="str">
        <x:v>缺少编码配置的补查</x:v>
      </x:c>
      <x:c r="F44" s="17" t="str">
        <x:v>逐台核对 ONVIF 服务及专用账号；不假设管理账号可复用；可复现设备或协议模拟器</x:v>
      </x:c>
      <x:c r="G44" s="17" t="str">
        <x:v>四台摄像机；NVR-A（能力待核对）</x:v>
      </x:c>
      <x:c r="H44" s="17" t="str">
        <x:v>1. 返回带视频源但缺编码的Profile
2. 添加
3. 观察补查和媒体探测</x:v>
      </x:c>
      <x:c r="I44" s="17" t="str">
        <x:v>按文档共享20秒预算、最多补查4项、单路探测最多5秒；失败明确且不泄露或无限挂起。</x:v>
      </x:c>
      <x:c r="J44" s="17" t="str">
        <x:v>删除本轮通道；关闭弹窗；恢复测试账号配置</x:v>
      </x:c>
      <x:c r="K44" s="17" t="str">
        <x:v>步骤观察、实际结果、证据文件与清理核对</x:v>
      </x:c>
      <x:c r="L44" s="17" t="str">
        <x:v>UI主操作＋API只读核对</x:v>
      </x:c>
      <x:c r="M44" s="17" t="str">
        <x:v>受影响模块回归</x:v>
      </x:c>
      <x:c r="N44" s="17" t="str">
        <x:v>目标设备具备该能力</x:v>
      </x:c>
      <x:c r="O44" s="17" t="str">
        <x:v>docs/guide/onvif-access.md；src/web/src/views/gam/taskManager/components/OnvifDialog.vue</x:v>
      </x:c>
      <x:c r="P44" s="17" t="str">
        <x:v>未执行</x:v>
      </x:c>
      <x:c r="Q44" s="19" t="str"/>
      <x:c r="R44" s="17" t="str"/>
      <x:c r="S44" s="17" t="str"/>
      <x:c r="T44" s="17" t="n">
        <x:v>1</x:v>
      </x:c>
      <x:c r="U44" s="17" t="str">
        <x:v>DUT；CAM-HK-A；CAM-DH；CAM-HK-B；CAM-UNV；NVR-A</x:v>
      </x:c>
      <x:c r="V44" s="17" t="str">
        <x:v>codex-ui-and-evidence</x:v>
      </x:c>
      <x:c r="W44" s="17" t="str"/>
      <x:c r="X44" s="17" t="str"/>
      <x:c r="Y44" s="17" t="str"/>
      <x:c r="Z44" s="17" t="str"/>
      <x:c r="AA44" s="17" t="str"/>
      <x:c r="AB44" s="17" t="str"/>
      <x:c r="AC44" s="17" t="str"/>
    </x:row>
    <x:row r="45" ht="53" customHeight="1">
      <x:c r="A45" s="4" t="str">
        <x:v>ONVIF-007</x:v>
      </x:c>
      <x:c r="B45" s="4" t="str">
        <x:v>J02</x:v>
      </x:c>
      <x:c r="C45" s="4" t="str">
        <x:v>ONVIF 接入</x:v>
      </x:c>
      <x:c r="D45" s="4" t="str">
        <x:v>P1</x:v>
      </x:c>
      <x:c r="E45" s="4" t="str">
        <x:v>独立 RTSP 凭据</x:v>
      </x:c>
      <x:c r="F45" s="4" t="str">
        <x:v>逐台核对 ONVIF 服务及专用账号；不假设管理账号可复用；ONVIF和RTSP不同账号</x:v>
      </x:c>
      <x:c r="G45" s="4" t="str">
        <x:v>四台摄像机；NVR-A（能力待核对）</x:v>
      </x:c>
      <x:c r="H45" s="4" t="str">
        <x:v>1. 不启用独立账号尝试
2. 展开独立RTSP账号填写
3. 添加并预览</x:v>
      </x:c>
      <x:c r="I45" s="4" t="str">
        <x:v>ONVIF成功而RTSP失败可区分；正确独立凭据可取流；其他行不继承该凭据。</x:v>
      </x:c>
      <x:c r="J45" s="4" t="str">
        <x:v>删除本轮通道；关闭弹窗；恢复测试账号配置</x:v>
      </x:c>
      <x:c r="K45" s="4" t="str">
        <x:v>步骤观察、实际结果、证据文件与清理核对</x:v>
      </x:c>
      <x:c r="L45" s="4" t="str">
        <x:v>UI主操作＋API只读核对</x:v>
      </x:c>
      <x:c r="M45" s="4" t="str">
        <x:v>受影响模块回归</x:v>
      </x:c>
      <x:c r="N45" s="4" t="str">
        <x:v>目标设备具备该能力</x:v>
      </x:c>
      <x:c r="O45" s="4" t="str">
        <x:v>docs/guide/onvif-access.md；src/web/src/views/gam/taskManager/components/OnvifDialog.vue</x:v>
      </x:c>
      <x:c r="P45" s="4" t="str">
        <x:v>未执行</x:v>
      </x:c>
      <x:c r="Q45" s="19" t="str"/>
      <x:c r="R45" s="12" t="str"/>
      <x:c r="S45" s="12" t="str"/>
      <x:c r="T45" s="4" t="n">
        <x:v>1</x:v>
      </x:c>
      <x:c r="U45" s="4" t="str">
        <x:v>DUT；CAM-HK-A；CAM-DH；CAM-HK-B；CAM-UNV；NVR-A；ONVIF-SETTINGS</x:v>
      </x:c>
      <x:c r="V45" s="4" t="str">
        <x:v>codex-ui-and-evidence</x:v>
      </x:c>
      <x:c r="W45" s="4" t="str"/>
      <x:c r="X45" s="4" t="str"/>
      <x:c r="Y45" s="4" t="str"/>
      <x:c r="Z45" s="4" t="str"/>
      <x:c r="AA45" s="4" t="str"/>
      <x:c r="AB45" s="4" t="str"/>
      <x:c r="AC45" s="4" t="str"/>
    </x:row>
    <x:row r="46" ht="53" customHeight="1">
      <x:c r="A46" s="17" t="str">
        <x:v>ONVIF-008</x:v>
      </x:c>
      <x:c r="B46" s="17" t="str">
        <x:v>J02</x:v>
      </x:c>
      <x:c r="C46" s="17" t="str">
        <x:v>ONVIF 接入</x:v>
      </x:c>
      <x:c r="D46" s="17" t="str">
        <x:v>P1</x:v>
      </x:c>
      <x:c r="E46" s="17" t="str">
        <x:v>编辑留空密码与重复保存</x:v>
      </x:c>
      <x:c r="F46" s="17" t="str">
        <x:v>逐台核对 ONVIF 服务及专用账号；不假设管理账号可复用</x:v>
      </x:c>
      <x:c r="G46" s="17" t="str">
        <x:v>四台摄像机；NVR-A（能力待核对）</x:v>
      </x:c>
      <x:c r="H46" s="17" t="str">
        <x:v>1. 编辑已建通道仅改名称，密码留空
2. 保存预览
3. 同服务地址同Profile再次新增</x:v>
      </x:c>
      <x:c r="I46" s="17" t="str">
        <x:v>留空保留原密码；原Profile优先保留；重复通道被明确拒绝。</x:v>
      </x:c>
      <x:c r="J46" s="17" t="str">
        <x:v>删除本轮通道；关闭弹窗；恢复测试账号配置</x:v>
      </x:c>
      <x:c r="K46" s="17" t="str">
        <x:v>步骤观察、实际结果、证据文件与清理核对</x:v>
      </x:c>
      <x:c r="L46" s="17" t="str">
        <x:v>UI主操作＋API只读核对</x:v>
      </x:c>
      <x:c r="M46" s="17" t="str">
        <x:v>受影响模块回归</x:v>
      </x:c>
      <x:c r="N46" s="17" t="str">
        <x:v>目标设备具备该能力</x:v>
      </x:c>
      <x:c r="O46" s="17" t="str">
        <x:v>docs/guide/onvif-access.md；src/web/src/views/gam/taskManager/components/OnvifDialog.vue</x:v>
      </x:c>
      <x:c r="P46" s="17" t="str">
        <x:v>未执行</x:v>
      </x:c>
      <x:c r="Q46" s="19" t="str"/>
      <x:c r="R46" s="17" t="str"/>
      <x:c r="S46" s="17" t="str"/>
      <x:c r="T46" s="17" t="n">
        <x:v>1</x:v>
      </x:c>
      <x:c r="U46" s="17" t="str">
        <x:v>DUT；CAM-HK-A；CAM-DH；CAM-HK-B；CAM-UNV；NVR-A</x:v>
      </x:c>
      <x:c r="V46" s="17" t="str">
        <x:v>codex-ui-and-evidence</x:v>
      </x:c>
      <x:c r="W46" s="17" t="str"/>
      <x:c r="X46" s="17" t="str"/>
      <x:c r="Y46" s="17" t="str"/>
      <x:c r="Z46" s="17" t="str"/>
      <x:c r="AA46" s="17" t="str"/>
      <x:c r="AB46" s="17" t="str"/>
      <x:c r="AC46" s="17" t="str"/>
    </x:row>
    <x:row r="47" ht="68" customHeight="1">
      <x:c r="A47" s="4" t="str">
        <x:v>ONVIF-009</x:v>
      </x:c>
      <x:c r="B47" s="4" t="str">
        <x:v>J02</x:v>
      </x:c>
      <x:c r="C47" s="4" t="str">
        <x:v>ONVIF 接入</x:v>
      </x:c>
      <x:c r="D47" s="4" t="str">
        <x:v>P1</x:v>
      </x:c>
      <x:c r="E47" s="4" t="str">
        <x:v>取消与进行中的保存</x:v>
      </x:c>
      <x:c r="F47" s="4" t="str">
        <x:v>逐台核对 ONVIF 服务及专用账号；不假设管理账号可复用；多行批量添加且请求限速</x:v>
      </x:c>
      <x:c r="G47" s="4" t="str">
        <x:v>四台摄像机；NVR-A（能力待核对）</x:v>
      </x:c>
      <x:c r="H47" s="4" t="str">
        <x:v>1. 开始添加
2. 在中途点取消
3. 等待已发请求结束
4. 重开列表</x:v>
      </x:c>
      <x:c r="I47" s="4" t="str">
        <x:v>尚未开始的停止；已发保存成功的对象保留并可见；无失踪或重试重复。</x:v>
      </x:c>
      <x:c r="J47" s="4" t="str">
        <x:v>删除本轮通道；关闭弹窗；恢复测试账号配置</x:v>
      </x:c>
      <x:c r="K47" s="4" t="str">
        <x:v>步骤观察、实际结果、证据文件与清理核对</x:v>
      </x:c>
      <x:c r="L47" s="4" t="str">
        <x:v>UI主操作＋API只读核对</x:v>
      </x:c>
      <x:c r="M47" s="4" t="str">
        <x:v>受影响模块回归</x:v>
      </x:c>
      <x:c r="N47" s="4" t="str">
        <x:v>目标设备具备该能力</x:v>
      </x:c>
      <x:c r="O47" s="4" t="str">
        <x:v>docs/guide/onvif-access.md；src/web/src/views/gam/taskManager/components/OnvifDialog.vue</x:v>
      </x:c>
      <x:c r="P47" s="4" t="str">
        <x:v>未执行</x:v>
      </x:c>
      <x:c r="Q47" s="19" t="str"/>
      <x:c r="R47" s="12" t="str"/>
      <x:c r="S47" s="12" t="str"/>
      <x:c r="T47" s="4" t="n">
        <x:v>1</x:v>
      </x:c>
      <x:c r="U47" s="4" t="str">
        <x:v>DUT；CAM-HK-A；CAM-DH；CAM-HK-B；CAM-UNV；NVR-A</x:v>
      </x:c>
      <x:c r="V47" s="4" t="str">
        <x:v>codex-ui-and-evidence</x:v>
      </x:c>
      <x:c r="W47" s="4" t="str"/>
      <x:c r="X47" s="4" t="str"/>
      <x:c r="Y47" s="4" t="str"/>
      <x:c r="Z47" s="4" t="str"/>
      <x:c r="AA47" s="4" t="str"/>
      <x:c r="AB47" s="4" t="str"/>
      <x:c r="AC47" s="4" t="str"/>
    </x:row>
    <x:row r="48" ht="53" customHeight="1">
      <x:c r="A48" s="17" t="str">
        <x:v>ONVIF-010</x:v>
      </x:c>
      <x:c r="B48" s="17" t="str">
        <x:v>J02</x:v>
      </x:c>
      <x:c r="C48" s="17" t="str">
        <x:v>ONVIF 接入</x:v>
      </x:c>
      <x:c r="D48" s="17" t="str">
        <x:v>P1</x:v>
      </x:c>
      <x:c r="E48" s="17" t="str">
        <x:v>时钟偏差、跨网段与证书</x:v>
      </x:c>
      <x:c r="F48" s="17" t="str">
        <x:v>逐台核对 ONVIF 服务及专用账号；不假设管理账号可复用；模拟器/隔离设备具备条件</x:v>
      </x:c>
      <x:c r="G48" s="17" t="str">
        <x:v>四台摄像机；NVR-A（能力待核对）</x:v>
      </x:c>
      <x:c r="H48" s="17" t="str">
        <x:v>1. 模拟时钟偏差
2. 跨网段手动地址接入
3. 测自签名HTTPS与跨主机SOAP地址</x:v>
      </x:c>
      <x:c r="I48" s="17" t="str">
        <x:v>时间偏移不修改摄像机时钟；手动地址可独立于发现测试；无效证书及跨主机地址不被静默信任。</x:v>
      </x:c>
      <x:c r="J48" s="17" t="str">
        <x:v>删除本轮通道；关闭弹窗；恢复测试账号配置</x:v>
      </x:c>
      <x:c r="K48" s="17" t="str">
        <x:v>步骤观察、实际结果、证据文件与清理核对</x:v>
      </x:c>
      <x:c r="L48" s="17" t="str">
        <x:v>UI主操作＋API只读核对</x:v>
      </x:c>
      <x:c r="M48" s="17" t="str">
        <x:v>受影响模块回归</x:v>
      </x:c>
      <x:c r="N48" s="17" t="str">
        <x:v>目标设备具备该能力</x:v>
      </x:c>
      <x:c r="O48" s="17" t="str">
        <x:v>docs/guide/onvif-access.md；src/web/src/views/gam/taskManager/components/OnvifDialog.vue</x:v>
      </x:c>
      <x:c r="P48" s="17" t="str">
        <x:v>未执行</x:v>
      </x:c>
      <x:c r="Q48" s="19" t="str"/>
      <x:c r="R48" s="17" t="str"/>
      <x:c r="S48" s="17" t="str"/>
      <x:c r="T48" s="17" t="n">
        <x:v>1</x:v>
      </x:c>
      <x:c r="U48" s="17" t="str">
        <x:v>DUT；CAM-HK-A；CAM-DH；CAM-HK-B；CAM-UNV；NVR-A；ONVIF-SETTINGS</x:v>
      </x:c>
      <x:c r="V48" s="17" t="str">
        <x:v>codex-ui-and-evidence</x:v>
      </x:c>
      <x:c r="W48" s="17" t="str"/>
      <x:c r="X48" s="17" t="str"/>
      <x:c r="Y48" s="17" t="str"/>
      <x:c r="Z48" s="17" t="str"/>
      <x:c r="AA48" s="17" t="str"/>
      <x:c r="AB48" s="17" t="str"/>
      <x:c r="AC48" s="17" t="str"/>
    </x:row>
    <x:row r="49" ht="68" customHeight="1">
      <x:c r="A49" s="4" t="str">
        <x:v>ONVIF-011</x:v>
      </x:c>
      <x:c r="B49" s="4" t="str">
        <x:v>J02</x:v>
      </x:c>
      <x:c r="C49" s="4" t="str">
        <x:v>ONVIF 接入</x:v>
      </x:c>
      <x:c r="D49" s="4" t="str">
        <x:v>P1</x:v>
      </x:c>
      <x:c r="E49" s="4" t="str">
        <x:v>NVR Profile 与权限隔离</x:v>
      </x:c>
      <x:c r="F49" s="4" t="str">
        <x:v>逐台核对 ONVIF 服务及专用账号；不假设管理账号可复用；NVR暴露多Profile及可控权限账号</x:v>
      </x:c>
      <x:c r="G49" s="4" t="str">
        <x:v>四台摄像机；NVR-A（能力待核对）</x:v>
      </x:c>
      <x:c r="H49" s="4" t="str">
        <x:v>1. 读取Profile
2. 添加默认选择
3. API指定合法Profile补测
4. 禁止通道访问再恢复</x:v>
      </x:c>
      <x:c r="I49" s="4" t="str">
        <x:v>选择与权限对应；网页当前不提供手选Profile不记UI缺陷；错误不串到其他NVR通道。</x:v>
      </x:c>
      <x:c r="J49" s="4" t="str">
        <x:v>删除本轮通道；关闭弹窗；恢复测试账号配置</x:v>
      </x:c>
      <x:c r="K49" s="4" t="str">
        <x:v>步骤观察、实际结果、证据文件与清理核对</x:v>
      </x:c>
      <x:c r="L49" s="4" t="str">
        <x:v>UI主操作＋API只读核对</x:v>
      </x:c>
      <x:c r="M49" s="4" t="str">
        <x:v>受影响模块回归</x:v>
      </x:c>
      <x:c r="N49" s="4" t="str">
        <x:v>目标设备具备该能力</x:v>
      </x:c>
      <x:c r="O49" s="4" t="str">
        <x:v>docs/guide/onvif-access.md；src/web/src/views/gam/taskManager/components/OnvifDialog.vue</x:v>
      </x:c>
      <x:c r="P49" s="4" t="str">
        <x:v>未执行</x:v>
      </x:c>
      <x:c r="Q49" s="19" t="str"/>
      <x:c r="R49" s="12" t="str"/>
      <x:c r="S49" s="12" t="str"/>
      <x:c r="T49" s="4" t="n">
        <x:v>1</x:v>
      </x:c>
      <x:c r="U49" s="4" t="str">
        <x:v>DUT；CAM-HK-A；CAM-DH；CAM-HK-B；CAM-UNV；NVR-A；ONVIF-SETTINGS</x:v>
      </x:c>
      <x:c r="V49" s="4" t="str">
        <x:v>codex-ui-and-evidence</x:v>
      </x:c>
      <x:c r="W49" s="4" t="str"/>
      <x:c r="X49" s="4" t="str"/>
      <x:c r="Y49" s="4" t="str"/>
      <x:c r="Z49" s="4" t="str"/>
      <x:c r="AA49" s="4" t="str"/>
      <x:c r="AB49" s="4" t="str"/>
      <x:c r="AC49" s="4" t="str"/>
    </x:row>
    <x:row r="50" ht="68" customHeight="1">
      <x:c r="A50" s="17" t="str">
        <x:v>GB-001</x:v>
      </x:c>
      <x:c r="B50" s="17" t="str">
        <x:v>J02</x:v>
      </x:c>
      <x:c r="C50" s="17" t="str">
        <x:v>GB28181 接入</x:v>
      </x:c>
      <x:c r="D50" s="17" t="str">
        <x:v>P0</x:v>
      </x:c>
      <x:c r="E50" s="17" t="str">
        <x:v>平台参数与启用保存</x:v>
      </x:c>
      <x:c r="F50" s="17" t="str">
        <x:v>目标运行SRS与管理版SIP；已确认可修改测试设备接入配置；服务器ID/域/端口及可达地址均已核对</x:v>
      </x:c>
      <x:c r="G50" s="17" t="str">
        <x:v>CAM-HK-A；CAM-DH；CAM-HK-B；NVR-A；SIP参数待补</x:v>
      </x:c>
      <x:c r="H50" s="17" t="str">
        <x:v>1. 打开平台设置
2. 核对默认关闭
3. 填平台身份和可达地址启用保存
4. 刷新</x:v>
      </x:c>
      <x:c r="I50" s="17" t="str">
        <x:v>值持久化；不是用摄像机IP或浏览器地址代替平台地址；监听冲突能解释。</x:v>
      </x:c>
      <x:c r="J50" s="17" t="str">
        <x:v>恢复原平台设置和设备登记；清理本轮视频通道；保留密钥备份</x:v>
      </x:c>
      <x:c r="K50" s="17" t="str">
        <x:v>步骤观察、实际结果、证据文件与清理核对</x:v>
      </x:c>
      <x:c r="L50" s="17" t="str">
        <x:v>UI主操作＋API只读核对</x:v>
      </x:c>
      <x:c r="M50" s="17" t="str">
        <x:v>受影响模块回归</x:v>
      </x:c>
      <x:c r="N50" s="17" t="str">
        <x:v>目标设备具备该能力</x:v>
      </x:c>
      <x:c r="O50" s="17" t="str">
        <x:v>docs/guide/gb28181-access.md；src/web/src/views/gam/taskManager/components/Gb28181Dialog.vue</x:v>
      </x:c>
      <x:c r="P50" s="17" t="str">
        <x:v>未执行</x:v>
      </x:c>
      <x:c r="Q50" s="19" t="str"/>
      <x:c r="R50" s="17" t="str"/>
      <x:c r="S50" s="17" t="str"/>
      <x:c r="T50" s="17" t="n">
        <x:v>1</x:v>
      </x:c>
      <x:c r="U50" s="17" t="str">
        <x:v>DUT；CAM-HK-A；CAM-DH；CAM-HK-B；NVR-A；GB-SETTINGS</x:v>
      </x:c>
      <x:c r="V50" s="17" t="str">
        <x:v>codex-ui-and-evidence</x:v>
      </x:c>
      <x:c r="W50" s="17" t="str"/>
      <x:c r="X50" s="17" t="str"/>
      <x:c r="Y50" s="17" t="str"/>
      <x:c r="Z50" s="17" t="str"/>
      <x:c r="AA50" s="17" t="str"/>
      <x:c r="AB50" s="17" t="str"/>
      <x:c r="AC50" s="17" t="str"/>
    </x:row>
    <x:row r="51" ht="83" customHeight="1">
      <x:c r="A51" s="4" t="str">
        <x:v>GB-002</x:v>
      </x:c>
      <x:c r="B51" s="4" t="str">
        <x:v>J02</x:v>
      </x:c>
      <x:c r="C51" s="4" t="str">
        <x:v>GB28181 接入</x:v>
      </x:c>
      <x:c r="D51" s="4" t="str">
        <x:v>P0</x:v>
      </x:c>
      <x:c r="E51" s="4" t="str">
        <x:v>三台摄像机逐台注册点播</x:v>
      </x:c>
      <x:c r="F51" s="4" t="str">
        <x:v>目标运行SRS与管理版SIP；已确认可修改测试设备接入配置；每台SIP认证密码和编码已核对</x:v>
      </x:c>
      <x:c r="G51" s="4" t="str">
        <x:v>CAM-HK-A；CAM-DH；CAM-HK-B；NVR-A；SIP参数待补</x:v>
      </x:c>
      <x:c r="H51" s="4" t="str">
        <x:v>1. 登记设备身份和认证
2. 设备端配置平台
3. 等待注册与目录
4. 勾选视频通道添加
5. 预览抓拍运行任务</x:v>
      </x:c>
      <x:c r="I51" s="4" t="str">
        <x:v>注册、目录、点播、收流、解码、任务各阶段有证据；三台分别判定。</x:v>
      </x:c>
      <x:c r="J51" s="4" t="str">
        <x:v>恢复原平台设置和设备登记；清理本轮视频通道；保留密钥备份</x:v>
      </x:c>
      <x:c r="K51" s="4" t="str">
        <x:v>步骤观察、实际结果、证据文件与清理核对</x:v>
      </x:c>
      <x:c r="L51" s="4" t="str">
        <x:v>UI主操作＋API只读核对</x:v>
      </x:c>
      <x:c r="M51" s="4" t="str">
        <x:v>每次变更冒烟</x:v>
      </x:c>
      <x:c r="N51" s="4" t="str">
        <x:v>目标设备具备该能力</x:v>
      </x:c>
      <x:c r="O51" s="4" t="str">
        <x:v>docs/guide/gb28181-access.md；src/web/src/views/gam/taskManager/components/Gb28181Dialog.vue</x:v>
      </x:c>
      <x:c r="P51" s="4" t="str">
        <x:v>未执行</x:v>
      </x:c>
      <x:c r="Q51" s="19" t="str"/>
      <x:c r="R51" s="12" t="str"/>
      <x:c r="S51" s="12" t="str"/>
      <x:c r="T51" s="4" t="n">
        <x:v>1</x:v>
      </x:c>
      <x:c r="U51" s="4" t="str">
        <x:v>DUT；CAM-HK-A；CAM-DH；CAM-HK-B；NVR-A</x:v>
      </x:c>
      <x:c r="V51" s="4" t="str">
        <x:v>codex-ui-and-evidence</x:v>
      </x:c>
      <x:c r="W51" s="4" t="str"/>
      <x:c r="X51" s="4" t="str"/>
      <x:c r="Y51" s="4" t="str"/>
      <x:c r="Z51" s="4" t="str"/>
      <x:c r="AA51" s="4" t="str"/>
      <x:c r="AB51" s="4" t="str"/>
      <x:c r="AC51" s="4" t="str"/>
    </x:row>
    <x:row r="52" ht="68" customHeight="1">
      <x:c r="A52" s="17" t="str">
        <x:v>GB-003</x:v>
      </x:c>
      <x:c r="B52" s="17" t="str">
        <x:v>J02</x:v>
      </x:c>
      <x:c r="C52" s="17" t="str">
        <x:v>GB28181 接入</x:v>
      </x:c>
      <x:c r="D52" s="17" t="str">
        <x:v>P0</x:v>
      </x:c>
      <x:c r="E52" s="17" t="str">
        <x:v>NVR 一台设备四个通道</x:v>
      </x:c>
      <x:c r="F52" s="17" t="str">
        <x:v>目标运行SRS与管理版SIP；已确认可修改测试设备接入配置；设备身份与4个视频通道编码区分</x:v>
      </x:c>
      <x:c r="G52" s="17" t="str">
        <x:v>CAM-HK-A；CAM-DH；CAM-HK-B；NVR-A；SIP参数待补</x:v>
      </x:c>
      <x:c r="H52" s="17" t="str">
        <x:v>1. 登记NVR一次
2. 查询展开完整目录
3. 给4路命名并选择添加
4. 同时运行和查询事件</x:v>
      </x:c>
      <x:c r="I52" s="17" t="str">
        <x:v>不把4路当作4个SIP设备；目录对应准确；无漏项、重复、串画面或串告警。</x:v>
      </x:c>
      <x:c r="J52" s="17" t="str">
        <x:v>恢复原平台设置和设备登记；清理本轮视频通道；保留密钥备份</x:v>
      </x:c>
      <x:c r="K52" s="17" t="str">
        <x:v>步骤观察、实际结果、证据文件与清理核对</x:v>
      </x:c>
      <x:c r="L52" s="17" t="str">
        <x:v>UI主操作＋API只读核对</x:v>
      </x:c>
      <x:c r="M52" s="17" t="str">
        <x:v>受影响模块回归</x:v>
      </x:c>
      <x:c r="N52" s="17" t="str">
        <x:v>目标设备具备该能力</x:v>
      </x:c>
      <x:c r="O52" s="17" t="str">
        <x:v>docs/guide/gb28181-access.md；src/web/src/views/gam/taskManager/components/Gb28181Dialog.vue</x:v>
      </x:c>
      <x:c r="P52" s="17" t="str">
        <x:v>未执行</x:v>
      </x:c>
      <x:c r="Q52" s="19" t="str"/>
      <x:c r="R52" s="17" t="str"/>
      <x:c r="S52" s="17" t="str"/>
      <x:c r="T52" s="17" t="n">
        <x:v>1</x:v>
      </x:c>
      <x:c r="U52" s="17" t="str">
        <x:v>DUT；CAM-HK-A；CAM-DH；CAM-HK-B；NVR-A；GB-SETTINGS</x:v>
      </x:c>
      <x:c r="V52" s="17" t="str">
        <x:v>codex-ui-and-evidence</x:v>
      </x:c>
      <x:c r="W52" s="17" t="str"/>
      <x:c r="X52" s="17" t="str"/>
      <x:c r="Y52" s="17" t="str"/>
      <x:c r="Z52" s="17" t="str"/>
      <x:c r="AA52" s="17" t="str"/>
      <x:c r="AB52" s="17" t="str"/>
      <x:c r="AC52" s="17" t="str"/>
    </x:row>
    <x:row r="53" ht="53" customHeight="1">
      <x:c r="A53" s="4" t="str">
        <x:v>GB-004</x:v>
      </x:c>
      <x:c r="B53" s="4" t="str">
        <x:v>J02</x:v>
      </x:c>
      <x:c r="C53" s="4" t="str">
        <x:v>GB28181 接入</x:v>
      </x:c>
      <x:c r="D53" s="4" t="str">
        <x:v>P1</x:v>
      </x:c>
      <x:c r="E53" s="4" t="str">
        <x:v>SIP与媒体传输组合</x:v>
      </x:c>
      <x:c r="F53" s="4" t="str">
        <x:v>目标运行SRS与管理版SIP；已确认可修改测试设备接入配置；按设备实际支持逐项组合</x:v>
      </x:c>
      <x:c r="G53" s="4" t="str">
        <x:v>CAM-HK-A；CAM-DH；CAM-HK-B；NVR-A；SIP参数待补</x:v>
      </x:c>
      <x:c r="H53" s="4" t="str">
        <x:v>1. 分别验证SIP TCP/UDP与媒体TCP/UDP组合
2. 修改媒体协议后重新注册
3. 点播</x:v>
      </x:c>
      <x:c r="I53" s="4" t="str">
        <x:v>媒体协议独立于信令；支持项可收流；TCP为设备主动连接；不支持项记录能力原因。</x:v>
      </x:c>
      <x:c r="J53" s="4" t="str">
        <x:v>恢复原平台设置和设备登记；清理本轮视频通道；保留密钥备份</x:v>
      </x:c>
      <x:c r="K53" s="4" t="str">
        <x:v>步骤观察、实际结果、证据文件与清理核对</x:v>
      </x:c>
      <x:c r="L53" s="4" t="str">
        <x:v>UI主操作＋API只读核对</x:v>
      </x:c>
      <x:c r="M53" s="4" t="str">
        <x:v>受影响模块回归</x:v>
      </x:c>
      <x:c r="N53" s="4" t="str">
        <x:v>目标设备具备该能力</x:v>
      </x:c>
      <x:c r="O53" s="4" t="str">
        <x:v>docs/guide/gb28181-access.md；src/web/src/views/gam/taskManager/components/Gb28181Dialog.vue</x:v>
      </x:c>
      <x:c r="P53" s="4" t="str">
        <x:v>未执行</x:v>
      </x:c>
      <x:c r="Q53" s="19" t="str"/>
      <x:c r="R53" s="12" t="str"/>
      <x:c r="S53" s="12" t="str"/>
      <x:c r="T53" s="4" t="n">
        <x:v>1</x:v>
      </x:c>
      <x:c r="U53" s="4" t="str">
        <x:v>DUT；CAM-HK-A；CAM-DH；CAM-HK-B；NVR-A；GB-SETTINGS</x:v>
      </x:c>
      <x:c r="V53" s="4" t="str">
        <x:v>codex-ui-and-evidence</x:v>
      </x:c>
      <x:c r="W53" s="4" t="str"/>
      <x:c r="X53" s="4" t="str"/>
      <x:c r="Y53" s="4" t="str"/>
      <x:c r="Z53" s="4" t="str"/>
      <x:c r="AA53" s="4" t="str"/>
      <x:c r="AB53" s="4" t="str"/>
      <x:c r="AC53" s="4" t="str"/>
    </x:row>
    <x:row r="54" ht="68" customHeight="1">
      <x:c r="A54" s="17" t="str">
        <x:v>GB-005</x:v>
      </x:c>
      <x:c r="B54" s="17" t="str">
        <x:v>J02</x:v>
      </x:c>
      <x:c r="C54" s="17" t="str">
        <x:v>GB28181 接入</x:v>
      </x:c>
      <x:c r="D54" s="17" t="str">
        <x:v>P0</x:v>
      </x:c>
      <x:c r="E54" s="17" t="str">
        <x:v>错误SIP认证与认证ID</x:v>
      </x:c>
      <x:c r="F54" s="17" t="str">
        <x:v>目标运行SRS与管理版SIP；已确认可修改测试设备接入配置；专用测试设备登记</x:v>
      </x:c>
      <x:c r="G54" s="17" t="str">
        <x:v>CAM-HK-A；CAM-DH；CAM-HK-B；NVR-A；SIP参数待补</x:v>
      </x:c>
      <x:c r="H54" s="17" t="str">
        <x:v>1. 填写错误密码或realm
2. 看注册失败
3. 恢复
4. 再测认证ID与设备编码不同</x:v>
      </x:c>
      <x:c r="I54" s="17" t="str">
        <x:v>错误认证不放行；提示可定位；正确认证ID能恢复；不拿网页登录密码代替SIP密码。</x:v>
      </x:c>
      <x:c r="J54" s="17" t="str">
        <x:v>恢复原平台设置和设备登记；清理本轮视频通道；保留密钥备份</x:v>
      </x:c>
      <x:c r="K54" s="17" t="str">
        <x:v>步骤观察、实际结果、证据文件与清理核对</x:v>
      </x:c>
      <x:c r="L54" s="17" t="str">
        <x:v>UI主操作＋API只读核对</x:v>
      </x:c>
      <x:c r="M54" s="17" t="str">
        <x:v>受影响模块回归</x:v>
      </x:c>
      <x:c r="N54" s="17" t="str">
        <x:v>目标设备具备该能力</x:v>
      </x:c>
      <x:c r="O54" s="17" t="str">
        <x:v>docs/guide/gb28181-access.md；src/web/src/views/gam/taskManager/components/Gb28181Dialog.vue</x:v>
      </x:c>
      <x:c r="P54" s="17" t="str">
        <x:v>未执行</x:v>
      </x:c>
      <x:c r="Q54" s="19" t="str"/>
      <x:c r="R54" s="17" t="str"/>
      <x:c r="S54" s="17" t="str"/>
      <x:c r="T54" s="17" t="n">
        <x:v>1</x:v>
      </x:c>
      <x:c r="U54" s="17" t="str">
        <x:v>DUT；CAM-HK-A；CAM-DH；CAM-HK-B；NVR-A；GB-SETTINGS</x:v>
      </x:c>
      <x:c r="V54" s="17" t="str">
        <x:v>codex-ui-and-evidence</x:v>
      </x:c>
      <x:c r="W54" s="17" t="str"/>
      <x:c r="X54" s="17" t="str"/>
      <x:c r="Y54" s="17" t="str"/>
      <x:c r="Z54" s="17" t="str"/>
      <x:c r="AA54" s="17" t="str"/>
      <x:c r="AB54" s="17" t="str"/>
      <x:c r="AC54" s="17" t="str"/>
    </x:row>
    <x:row r="55" ht="53" customHeight="1">
      <x:c r="A55" s="4" t="str">
        <x:v>GB-006</x:v>
      </x:c>
      <x:c r="B55" s="4" t="str">
        <x:v>J02</x:v>
      </x:c>
      <x:c r="C55" s="4" t="str">
        <x:v>GB28181 接入</x:v>
      </x:c>
      <x:c r="D55" s="4" t="str">
        <x:v>P0</x:v>
      </x:c>
      <x:c r="E55" s="4" t="str">
        <x:v>编码长度与目录冲突</x:v>
      </x:c>
      <x:c r="F55" s="4" t="str">
        <x:v>目标运行SRS与管理版SIP；已确认可修改测试设备接入配置；隔离模拟设备</x:v>
      </x:c>
      <x:c r="G55" s="4" t="str">
        <x:v>CAM-HK-A；CAM-DH；CAM-HK-B；NVR-A；SIP参数待补</x:v>
      </x:c>
      <x:c r="H55" s="4" t="str">
        <x:v>1. 输入非20位及非数字编码
2. 两设备上报相同视频编码
3. 重新查询</x:v>
      </x:c>
      <x:c r="I55" s="4" t="str">
        <x:v>非法编码不保存；重复视频编码明确冲突；不模糊匹配或自动串流。</x:v>
      </x:c>
      <x:c r="J55" s="4" t="str">
        <x:v>恢复原平台设置和设备登记；清理本轮视频通道；保留密钥备份</x:v>
      </x:c>
      <x:c r="K55" s="4" t="str">
        <x:v>步骤观察、实际结果、证据文件与清理核对</x:v>
      </x:c>
      <x:c r="L55" s="4" t="str">
        <x:v>UI主操作＋API只读核对</x:v>
      </x:c>
      <x:c r="M55" s="4" t="str">
        <x:v>受影响模块回归</x:v>
      </x:c>
      <x:c r="N55" s="4" t="str">
        <x:v>目标设备具备该能力</x:v>
      </x:c>
      <x:c r="O55" s="4" t="str">
        <x:v>docs/guide/gb28181-access.md；src/web/src/views/gam/taskManager/components/Gb28181Dialog.vue</x:v>
      </x:c>
      <x:c r="P55" s="4" t="str">
        <x:v>未执行</x:v>
      </x:c>
      <x:c r="Q55" s="19" t="str"/>
      <x:c r="R55" s="12" t="str"/>
      <x:c r="S55" s="12" t="str"/>
      <x:c r="T55" s="4" t="n">
        <x:v>1</x:v>
      </x:c>
      <x:c r="U55" s="4" t="str">
        <x:v>DUT；CAM-HK-A；CAM-DH；CAM-HK-B；NVR-A；GB-SETTINGS</x:v>
      </x:c>
      <x:c r="V55" s="4" t="str">
        <x:v>codex-ui-and-evidence</x:v>
      </x:c>
      <x:c r="W55" s="4" t="str"/>
      <x:c r="X55" s="4" t="str"/>
      <x:c r="Y55" s="4" t="str"/>
      <x:c r="Z55" s="4" t="str"/>
      <x:c r="AA55" s="4" t="str"/>
      <x:c r="AB55" s="4" t="str"/>
      <x:c r="AC55" s="4" t="str"/>
    </x:row>
    <x:row r="56" ht="53" customHeight="1">
      <x:c r="A56" s="17" t="str">
        <x:v>GB-007</x:v>
      </x:c>
      <x:c r="B56" s="17" t="str">
        <x:v>J02</x:v>
      </x:c>
      <x:c r="C56" s="17" t="str">
        <x:v>GB28181 接入</x:v>
      </x:c>
      <x:c r="D56" s="17" t="str">
        <x:v>P1</x:v>
      </x:c>
      <x:c r="E56" s="17" t="str">
        <x:v>分批目录完整性</x:v>
      </x:c>
      <x:c r="F56" s="17" t="str">
        <x:v>目标运行SRS与管理版SIP；已确认可修改测试设备接入配置；NVR或模拟器可发送分批目录</x:v>
      </x:c>
      <x:c r="G56" s="17" t="str">
        <x:v>CAM-HK-A；CAM-DH；CAM-HK-B；NVR-A；SIP参数待补</x:v>
      </x:c>
      <x:c r="H56" s="17" t="str">
        <x:v>1. 发送分批/乱序/超时目录
2. 刷新设备树
3. 补全完整目录</x:v>
      </x:c>
      <x:c r="I56" s="17" t="str">
        <x:v>同一查询完整收齐后更新；缺片不伪造通道；已有有效目录不被半包错误覆盖。</x:v>
      </x:c>
      <x:c r="J56" s="17" t="str">
        <x:v>恢复原平台设置和设备登记；清理本轮视频通道；保留密钥备份</x:v>
      </x:c>
      <x:c r="K56" s="17" t="str">
        <x:v>步骤观察、实际结果、证据文件与清理核对</x:v>
      </x:c>
      <x:c r="L56" s="17" t="str">
        <x:v>UI主操作＋API只读核对</x:v>
      </x:c>
      <x:c r="M56" s="17" t="str">
        <x:v>受影响模块回归</x:v>
      </x:c>
      <x:c r="N56" s="17" t="str">
        <x:v>目标设备具备该能力</x:v>
      </x:c>
      <x:c r="O56" s="17" t="str">
        <x:v>docs/guide/gb28181-access.md；src/web/src/views/gam/taskManager/components/Gb28181Dialog.vue</x:v>
      </x:c>
      <x:c r="P56" s="17" t="str">
        <x:v>未执行</x:v>
      </x:c>
      <x:c r="Q56" s="19" t="str"/>
      <x:c r="R56" s="17" t="str"/>
      <x:c r="S56" s="17" t="str"/>
      <x:c r="T56" s="17" t="n">
        <x:v>1</x:v>
      </x:c>
      <x:c r="U56" s="17" t="str">
        <x:v>DUT；CAM-HK-A；CAM-DH；CAM-HK-B；NVR-A；GB-SETTINGS</x:v>
      </x:c>
      <x:c r="V56" s="17" t="str">
        <x:v>codex-ui-and-evidence</x:v>
      </x:c>
      <x:c r="W56" s="17" t="str"/>
      <x:c r="X56" s="17" t="str"/>
      <x:c r="Y56" s="17" t="str"/>
      <x:c r="Z56" s="17" t="str"/>
      <x:c r="AA56" s="17" t="str"/>
      <x:c r="AB56" s="17" t="str"/>
      <x:c r="AC56" s="17" t="str"/>
    </x:row>
    <x:row r="57" ht="68" customHeight="1">
      <x:c r="A57" s="4" t="str">
        <x:v>GB-008</x:v>
      </x:c>
      <x:c r="B57" s="4" t="str">
        <x:v>J02</x:v>
      </x:c>
      <x:c r="C57" s="4" t="str">
        <x:v>GB28181 接入</x:v>
      </x:c>
      <x:c r="D57" s="4" t="str">
        <x:v>P1</x:v>
      </x:c>
      <x:c r="E57" s="4" t="str">
        <x:v>选择添加与已添加标记</x:v>
      </x:c>
      <x:c r="F57" s="4" t="str">
        <x:v>目标运行SRS与管理版SIP；已确认可修改测试设备接入配置</x:v>
      </x:c>
      <x:c r="G57" s="4" t="str">
        <x:v>CAM-HK-A；CAM-DH；CAM-HK-B；NVR-A；SIP参数待补</x:v>
      </x:c>
      <x:c r="H57" s="4" t="str">
        <x:v>1. 只勾选部分目录
2. 添加
3. 重开对话框
4. 再次选择已添加项</x:v>
      </x:c>
      <x:c r="I57" s="4" t="str">
        <x:v>不会自动导入整个目录；已添加状态准确；重复逻辑地址不重复建立。</x:v>
      </x:c>
      <x:c r="J57" s="4" t="str">
        <x:v>恢复原平台设置和设备登记；清理本轮视频通道；保留密钥备份</x:v>
      </x:c>
      <x:c r="K57" s="4" t="str">
        <x:v>步骤观察、实际结果、证据文件与清理核对</x:v>
      </x:c>
      <x:c r="L57" s="4" t="str">
        <x:v>UI主操作＋API只读核对</x:v>
      </x:c>
      <x:c r="M57" s="4" t="str">
        <x:v>受影响模块回归</x:v>
      </x:c>
      <x:c r="N57" s="4" t="str">
        <x:v>目标设备具备该能力</x:v>
      </x:c>
      <x:c r="O57" s="4" t="str">
        <x:v>docs/guide/gb28181-access.md；src/web/src/views/gam/taskManager/components/Gb28181Dialog.vue</x:v>
      </x:c>
      <x:c r="P57" s="4" t="str">
        <x:v>未执行</x:v>
      </x:c>
      <x:c r="Q57" s="19" t="str"/>
      <x:c r="R57" s="12" t="str"/>
      <x:c r="S57" s="12" t="str"/>
      <x:c r="T57" s="4" t="n">
        <x:v>1</x:v>
      </x:c>
      <x:c r="U57" s="4" t="str">
        <x:v>DUT；CAM-HK-A；CAM-DH；CAM-HK-B；NVR-A</x:v>
      </x:c>
      <x:c r="V57" s="4" t="str">
        <x:v>codex-ui-and-evidence</x:v>
      </x:c>
      <x:c r="W57" s="4" t="str"/>
      <x:c r="X57" s="4" t="str"/>
      <x:c r="Y57" s="4" t="str"/>
      <x:c r="Z57" s="4" t="str"/>
      <x:c r="AA57" s="4" t="str"/>
      <x:c r="AB57" s="4" t="str"/>
      <x:c r="AC57" s="4" t="str"/>
    </x:row>
    <x:row r="58" ht="68" customHeight="1">
      <x:c r="A58" s="17" t="str">
        <x:v>GB-009</x:v>
      </x:c>
      <x:c r="B58" s="17" t="str">
        <x:v>J02</x:v>
      </x:c>
      <x:c r="C58" s="17" t="str">
        <x:v>GB28181 接入</x:v>
      </x:c>
      <x:c r="D58" s="17" t="str">
        <x:v>P0</x:v>
      </x:c>
      <x:c r="E58" s="17" t="str">
        <x:v>设备掉线与重新注册</x:v>
      </x:c>
      <x:c r="F58" s="17" t="str">
        <x:v>目标运行SRS与管理版SIP；已确认可修改测试设备接入配置；获准断流窗口</x:v>
      </x:c>
      <x:c r="G58" s="17" t="str">
        <x:v>CAM-HK-A；CAM-DH；CAM-HK-B；NVR-A；SIP参数待补</x:v>
      </x:c>
      <x:c r="H58" s="17" t="str">
        <x:v>1. 运行中中断SIP心跳
2. 等待离线
3. 恢复
4. 重新注册和刷新目录</x:v>
      </x:c>
      <x:c r="I58" s="17" t="str">
        <x:v>离线状态可见；恢复后能再次点播；无永久卡死；恢复时间按实际超时机制记录。</x:v>
      </x:c>
      <x:c r="J58" s="17" t="str">
        <x:v>恢复原平台设置和设备登记；清理本轮视频通道；保留密钥备份</x:v>
      </x:c>
      <x:c r="K58" s="17" t="str">
        <x:v>步骤观察、实际结果、证据文件与清理核对</x:v>
      </x:c>
      <x:c r="L58" s="17" t="str">
        <x:v>UI主操作＋API只读核对</x:v>
      </x:c>
      <x:c r="M58" s="17" t="str">
        <x:v>受影响模块回归</x:v>
      </x:c>
      <x:c r="N58" s="17" t="str">
        <x:v>目标设备具备该能力</x:v>
      </x:c>
      <x:c r="O58" s="17" t="str">
        <x:v>docs/guide/gb28181-access.md；src/web/src/views/gam/taskManager/components/Gb28181Dialog.vue</x:v>
      </x:c>
      <x:c r="P58" s="17" t="str">
        <x:v>未执行</x:v>
      </x:c>
      <x:c r="Q58" s="19" t="str"/>
      <x:c r="R58" s="17" t="str"/>
      <x:c r="S58" s="17" t="str"/>
      <x:c r="T58" s="17" t="n">
        <x:v>1</x:v>
      </x:c>
      <x:c r="U58" s="17" t="str">
        <x:v>DUT；CAM-HK-A；CAM-DH；CAM-HK-B；NVR-A；GB-SETTINGS；RECOVERY-KIT</x:v>
      </x:c>
      <x:c r="V58" s="17" t="str">
        <x:v>codex-ui-and-evidence</x:v>
      </x:c>
      <x:c r="W58" s="17" t="str"/>
      <x:c r="X58" s="17" t="str"/>
      <x:c r="Y58" s="17" t="str"/>
      <x:c r="Z58" s="17" t="str"/>
      <x:c r="AA58" s="17" t="str"/>
      <x:c r="AB58" s="17" t="str"/>
      <x:c r="AC58" s="17" t="str"/>
    </x:row>
    <x:row r="59" ht="68" customHeight="1">
      <x:c r="A59" s="4" t="str">
        <x:v>GB-010</x:v>
      </x:c>
      <x:c r="B59" s="4" t="str">
        <x:v>J02</x:v>
      </x:c>
      <x:c r="C59" s="4" t="str">
        <x:v>GB28181 接入</x:v>
      </x:c>
      <x:c r="D59" s="4" t="str">
        <x:v>P1</x:v>
      </x:c>
      <x:c r="E59" s="4" t="str">
        <x:v>点播失败与无媒体</x:v>
      </x:c>
      <x:c r="F59" s="4" t="str">
        <x:v>目标运行SRS与管理版SIP；已确认可修改测试设备接入配置；模拟拒绝INVITE或阻断媒体</x:v>
      </x:c>
      <x:c r="G59" s="4" t="str">
        <x:v>CAM-HK-A；CAM-DH；CAM-HK-B；NVR-A；SIP参数待补</x:v>
      </x:c>
      <x:c r="H59" s="4" t="str">
        <x:v>1. 触发点播拒绝
2. 放通信令但阻断媒体
3. 恢复媒体
4. 再预览</x:v>
      </x:c>
      <x:c r="I59" s="4" t="str">
        <x:v>能区分点播拒绝/等待媒体/媒体超时/收流；超时资源可回收且后续可恢复。</x:v>
      </x:c>
      <x:c r="J59" s="4" t="str">
        <x:v>恢复原平台设置和设备登记；清理本轮视频通道；保留密钥备份</x:v>
      </x:c>
      <x:c r="K59" s="4" t="str">
        <x:v>步骤观察、实际结果、证据文件与清理核对</x:v>
      </x:c>
      <x:c r="L59" s="4" t="str">
        <x:v>UI主操作＋API只读核对</x:v>
      </x:c>
      <x:c r="M59" s="4" t="str">
        <x:v>受影响模块回归</x:v>
      </x:c>
      <x:c r="N59" s="4" t="str">
        <x:v>目标设备具备该能力</x:v>
      </x:c>
      <x:c r="O59" s="4" t="str">
        <x:v>docs/guide/gb28181-access.md；src/web/src/views/gam/taskManager/components/Gb28181Dialog.vue</x:v>
      </x:c>
      <x:c r="P59" s="4" t="str">
        <x:v>未执行</x:v>
      </x:c>
      <x:c r="Q59" s="19" t="str"/>
      <x:c r="R59" s="12" t="str"/>
      <x:c r="S59" s="12" t="str"/>
      <x:c r="T59" s="4" t="n">
        <x:v>1</x:v>
      </x:c>
      <x:c r="U59" s="4" t="str">
        <x:v>DUT；CAM-HK-A；CAM-DH；CAM-HK-B；NVR-A；GB-SETTINGS</x:v>
      </x:c>
      <x:c r="V59" s="4" t="str">
        <x:v>codex-ui-and-evidence</x:v>
      </x:c>
      <x:c r="W59" s="4" t="str"/>
      <x:c r="X59" s="4" t="str"/>
      <x:c r="Y59" s="4" t="str"/>
      <x:c r="Z59" s="4" t="str"/>
      <x:c r="AA59" s="4" t="str"/>
      <x:c r="AB59" s="4" t="str"/>
      <x:c r="AC59" s="4" t="str"/>
    </x:row>
    <x:row r="60" ht="53" customHeight="1">
      <x:c r="A60" s="17" t="str">
        <x:v>GB-011</x:v>
      </x:c>
      <x:c r="B60" s="17" t="str">
        <x:v>J02</x:v>
      </x:c>
      <x:c r="C60" s="17" t="str">
        <x:v>GB28181 接入</x:v>
      </x:c>
      <x:c r="D60" s="17" t="str">
        <x:v>P1</x:v>
      </x:c>
      <x:c r="E60" s="17" t="str">
        <x:v>平台保存对活动流的影响</x:v>
      </x:c>
      <x:c r="F60" s="17" t="str">
        <x:v>目标运行SRS与管理版SIP；已确认可修改测试设备接入配置；已备份当前注册配置</x:v>
      </x:c>
      <x:c r="G60" s="17" t="str">
        <x:v>CAM-HK-A；CAM-DH；CAM-HK-B；NVR-A；SIP参数待补</x:v>
      </x:c>
      <x:c r="H60" s="17" t="str">
        <x:v>1. 有活动流时修改平台设置保存
2. 观察注册断开
3. 等待设备重新注册</x:v>
      </x:c>
      <x:c r="I60" s="17" t="str">
        <x:v>断开影响明确；重注册后恢复；任务和通道配置不无故丢失。</x:v>
      </x:c>
      <x:c r="J60" s="17" t="str">
        <x:v>恢复原平台设置和设备登记；清理本轮视频通道；保留密钥备份</x:v>
      </x:c>
      <x:c r="K60" s="17" t="str">
        <x:v>步骤观察、实际结果、证据文件与清理核对</x:v>
      </x:c>
      <x:c r="L60" s="17" t="str">
        <x:v>UI主操作＋API只读核对</x:v>
      </x:c>
      <x:c r="M60" s="17" t="str">
        <x:v>发布全量/高影响</x:v>
      </x:c>
      <x:c r="N60" s="17" t="str">
        <x:v>目标设备具备该能力</x:v>
      </x:c>
      <x:c r="O60" s="17" t="str">
        <x:v>docs/guide/gb28181-access.md；src/web/src/views/gam/taskManager/components/Gb28181Dialog.vue</x:v>
      </x:c>
      <x:c r="P60" s="17" t="str">
        <x:v>未执行</x:v>
      </x:c>
      <x:c r="Q60" s="19" t="str"/>
      <x:c r="R60" s="17" t="str"/>
      <x:c r="S60" s="17" t="str"/>
      <x:c r="T60" s="17" t="n">
        <x:v>1</x:v>
      </x:c>
      <x:c r="U60" s="17" t="str">
        <x:v>DUT；CAM-HK-A；CAM-DH；CAM-HK-B；NVR-A；GB-SETTINGS；RECOVERY-KIT</x:v>
      </x:c>
      <x:c r="V60" s="17" t="str">
        <x:v>codex-ui-and-evidence</x:v>
      </x:c>
      <x:c r="W60" s="17" t="str"/>
      <x:c r="X60" s="17" t="str"/>
      <x:c r="Y60" s="17" t="str"/>
      <x:c r="Z60" s="17" t="str"/>
      <x:c r="AA60" s="17" t="str"/>
      <x:c r="AB60" s="17" t="str"/>
      <x:c r="AC60" s="17" t="str"/>
    </x:row>
    <x:row r="61" ht="53" customHeight="1">
      <x:c r="A61" s="4" t="str">
        <x:v>GB-012</x:v>
      </x:c>
      <x:c r="B61" s="4" t="str">
        <x:v>J02</x:v>
      </x:c>
      <x:c r="C61" s="4" t="str">
        <x:v>GB28181 接入</x:v>
      </x:c>
      <x:c r="D61" s="4" t="str">
        <x:v>P1</x:v>
      </x:c>
      <x:c r="E61" s="4" t="str">
        <x:v>编辑留空密码和修改域</x:v>
      </x:c>
      <x:c r="F61" s="4" t="str">
        <x:v>目标运行SRS与管理版SIP；已确认可修改测试设备接入配置</x:v>
      </x:c>
      <x:c r="G61" s="4" t="str">
        <x:v>CAM-HK-A；CAM-DH；CAM-HK-B；NVR-A；SIP参数待补</x:v>
      </x:c>
      <x:c r="H61" s="4" t="str">
        <x:v>1. 编辑设备只改名称密码留空
2. 尝试在已有登记时改域
3. 更改认证并重新注册</x:v>
      </x:c>
      <x:c r="I61" s="4" t="str">
        <x:v>空密码保留原值；已有设备不能直接改realm破坏摘要；改认证后需重新注册。</x:v>
      </x:c>
      <x:c r="J61" s="4" t="str">
        <x:v>恢复原平台设置和设备登记；清理本轮视频通道；保留密钥备份</x:v>
      </x:c>
      <x:c r="K61" s="4" t="str">
        <x:v>步骤观察、实际结果、证据文件与清理核对</x:v>
      </x:c>
      <x:c r="L61" s="4" t="str">
        <x:v>UI主操作＋API只读核对</x:v>
      </x:c>
      <x:c r="M61" s="4" t="str">
        <x:v>受影响模块回归</x:v>
      </x:c>
      <x:c r="N61" s="4" t="str">
        <x:v>目标设备具备该能力</x:v>
      </x:c>
      <x:c r="O61" s="4" t="str">
        <x:v>docs/guide/gb28181-access.md；src/web/src/views/gam/taskManager/components/Gb28181Dialog.vue</x:v>
      </x:c>
      <x:c r="P61" s="4" t="str">
        <x:v>未执行</x:v>
      </x:c>
      <x:c r="Q61" s="19" t="str"/>
      <x:c r="R61" s="12" t="str"/>
      <x:c r="S61" s="12" t="str"/>
      <x:c r="T61" s="4" t="n">
        <x:v>1</x:v>
      </x:c>
      <x:c r="U61" s="4" t="str">
        <x:v>DUT；CAM-HK-A；CAM-DH；CAM-HK-B；NVR-A；GB-SETTINGS</x:v>
      </x:c>
      <x:c r="V61" s="4" t="str">
        <x:v>codex-ui-and-evidence</x:v>
      </x:c>
      <x:c r="W61" s="4" t="str"/>
      <x:c r="X61" s="4" t="str"/>
      <x:c r="Y61" s="4" t="str"/>
      <x:c r="Z61" s="4" t="str"/>
      <x:c r="AA61" s="4" t="str"/>
      <x:c r="AB61" s="4" t="str"/>
      <x:c r="AC61" s="4" t="str"/>
    </x:row>
    <x:row r="62" ht="53" customHeight="1">
      <x:c r="A62" s="17" t="str">
        <x:v>GB-013</x:v>
      </x:c>
      <x:c r="B62" s="17" t="str">
        <x:v>J02</x:v>
      </x:c>
      <x:c r="C62" s="17" t="str">
        <x:v>GB28181 接入</x:v>
      </x:c>
      <x:c r="D62" s="17" t="str">
        <x:v>P1</x:v>
      </x:c>
      <x:c r="E62" s="17" t="str">
        <x:v>删除登记保留业务配置</x:v>
      </x:c>
      <x:c r="F62" s="17" t="str">
        <x:v>目标运行SRS与管理版SIP；已确认可修改测试设备接入配置；本轮登记已绑定通道任务</x:v>
      </x:c>
      <x:c r="G62" s="17" t="str">
        <x:v>CAM-HK-A；CAM-DH；CAM-HK-B；NVR-A；SIP参数待补</x:v>
      </x:c>
      <x:c r="H62" s="17" t="str">
        <x:v>1. 删除设备登记
2. 查询视频通道和任务
3. 重新登记</x:v>
      </x:c>
      <x:c r="I62" s="17" t="str">
        <x:v>业务通道任务仍在但离线；不会误删；重新登记后可恢复。</x:v>
      </x:c>
      <x:c r="J62" s="17" t="str">
        <x:v>恢复原平台设置和设备登记；清理本轮视频通道；保留密钥备份</x:v>
      </x:c>
      <x:c r="K62" s="17" t="str">
        <x:v>步骤观察、实际结果、证据文件与清理核对</x:v>
      </x:c>
      <x:c r="L62" s="17" t="str">
        <x:v>UI主操作＋API只读核对</x:v>
      </x:c>
      <x:c r="M62" s="17" t="str">
        <x:v>受影响模块回归</x:v>
      </x:c>
      <x:c r="N62" s="17" t="str">
        <x:v>目标设备具备该能力</x:v>
      </x:c>
      <x:c r="O62" s="17" t="str">
        <x:v>docs/guide/gb28181-access.md；src/web/src/views/gam/taskManager/components/Gb28181Dialog.vue</x:v>
      </x:c>
      <x:c r="P62" s="17" t="str">
        <x:v>未执行</x:v>
      </x:c>
      <x:c r="Q62" s="19" t="str"/>
      <x:c r="R62" s="17" t="str"/>
      <x:c r="S62" s="17" t="str"/>
      <x:c r="T62" s="17" t="n">
        <x:v>1</x:v>
      </x:c>
      <x:c r="U62" s="17" t="str">
        <x:v>DUT；CAM-HK-A；CAM-DH；CAM-HK-B；NVR-A；GB-SETTINGS</x:v>
      </x:c>
      <x:c r="V62" s="17" t="str">
        <x:v>codex-ui-and-evidence</x:v>
      </x:c>
      <x:c r="W62" s="17" t="str"/>
      <x:c r="X62" s="17" t="str"/>
      <x:c r="Y62" s="17" t="str"/>
      <x:c r="Z62" s="17" t="str"/>
      <x:c r="AA62" s="17" t="str"/>
      <x:c r="AB62" s="17" t="str"/>
      <x:c r="AC62" s="17" t="str"/>
    </x:row>
    <x:row r="63" ht="53" customHeight="1">
      <x:c r="A63" s="4" t="str">
        <x:v>GB-014</x:v>
      </x:c>
      <x:c r="B63" s="4" t="str">
        <x:v>J02</x:v>
      </x:c>
      <x:c r="C63" s="4" t="str">
        <x:v>GB28181 接入</x:v>
      </x:c>
      <x:c r="D63" s="4" t="str">
        <x:v>P1</x:v>
      </x:c>
      <x:c r="E63" s="4" t="str">
        <x:v>删除业务通道回收媒体</x:v>
      </x:c>
      <x:c r="F63" s="4" t="str">
        <x:v>目标运行SRS与管理版SIP；已确认可修改测试设备接入配置</x:v>
      </x:c>
      <x:c r="G63" s="4" t="str">
        <x:v>CAM-HK-A；CAM-DH；CAM-HK-B；NVR-A；SIP参数待补</x:v>
      </x:c>
      <x:c r="H63" s="4" t="str">
        <x:v>1. 停止并删除本轮视频通道
2. 等待文档租约窗口
3. 读取媒体会话</x:v>
      </x:c>
      <x:c r="I63" s="4" t="str">
        <x:v>媒体需求最终释放，按约120秒机制观察而非要求瞬间释放；其他活动任务续期正常。</x:v>
      </x:c>
      <x:c r="J63" s="4" t="str">
        <x:v>恢复原平台设置和设备登记；清理本轮视频通道；保留密钥备份</x:v>
      </x:c>
      <x:c r="K63" s="4" t="str">
        <x:v>步骤观察、实际结果、证据文件与清理核对</x:v>
      </x:c>
      <x:c r="L63" s="4" t="str">
        <x:v>UI主操作＋API只读核对</x:v>
      </x:c>
      <x:c r="M63" s="4" t="str">
        <x:v>受影响模块回归</x:v>
      </x:c>
      <x:c r="N63" s="4" t="str">
        <x:v>目标设备具备该能力</x:v>
      </x:c>
      <x:c r="O63" s="4" t="str">
        <x:v>docs/guide/gb28181-access.md；src/web/src/views/gam/taskManager/components/Gb28181Dialog.vue</x:v>
      </x:c>
      <x:c r="P63" s="4" t="str">
        <x:v>未执行</x:v>
      </x:c>
      <x:c r="Q63" s="19" t="str"/>
      <x:c r="R63" s="12" t="str"/>
      <x:c r="S63" s="12" t="str"/>
      <x:c r="T63" s="4" t="n">
        <x:v>1</x:v>
      </x:c>
      <x:c r="U63" s="4" t="str">
        <x:v>DUT；CAM-HK-A；CAM-DH；CAM-HK-B；NVR-A；GB-SETTINGS</x:v>
      </x:c>
      <x:c r="V63" s="4" t="str">
        <x:v>codex-ui-and-evidence</x:v>
      </x:c>
      <x:c r="W63" s="4" t="str"/>
      <x:c r="X63" s="4" t="str"/>
      <x:c r="Y63" s="4" t="str"/>
      <x:c r="Z63" s="4" t="str"/>
      <x:c r="AA63" s="4" t="str"/>
      <x:c r="AB63" s="4" t="str"/>
      <x:c r="AC63" s="4" t="str"/>
    </x:row>
    <x:row r="64" ht="53" customHeight="1">
      <x:c r="A64" s="17" t="str">
        <x:v>GB-015</x:v>
      </x:c>
      <x:c r="B64" s="17" t="str">
        <x:v>J02</x:v>
      </x:c>
      <x:c r="C64" s="17" t="str">
        <x:v>GB28181 接入</x:v>
      </x:c>
      <x:c r="D64" s="17" t="str">
        <x:v>P1</x:v>
      </x:c>
      <x:c r="E64" s="17" t="str">
        <x:v>UDP 包校验与重排</x:v>
      </x:c>
      <x:c r="F64" s="17" t="str">
        <x:v>目标运行SRS与管理版SIP；已确认可修改测试设备接入配置；隔离RTP模拟器，非现网注入</x:v>
      </x:c>
      <x:c r="G64" s="17" t="str">
        <x:v>CAM-HK-A；CAM-DH；CAM-HK-B；NVR-A；SIP参数待补</x:v>
      </x:c>
      <x:c r="H64" s="17" t="str">
        <x:v>1. 发送正确/错误SSRC和来源
2. 受控乱序丢包
3. 恢复正常包</x:v>
      </x:c>
      <x:c r="I64" s="17" t="str">
        <x:v>错误来源不进入业务流；缓存有界；不伪造丢包内容；可解码关键帧恢复后继续处理。</x:v>
      </x:c>
      <x:c r="J64" s="17" t="str">
        <x:v>恢复原平台设置和设备登记；清理本轮视频通道；保留密钥备份</x:v>
      </x:c>
      <x:c r="K64" s="17" t="str">
        <x:v>步骤观察、实际结果、证据文件与清理核对</x:v>
      </x:c>
      <x:c r="L64" s="17" t="str">
        <x:v>UI主操作＋API只读核对</x:v>
      </x:c>
      <x:c r="M64" s="17" t="str">
        <x:v>受影响模块回归</x:v>
      </x:c>
      <x:c r="N64" s="17" t="str">
        <x:v>目标设备具备该能力</x:v>
      </x:c>
      <x:c r="O64" s="17" t="str">
        <x:v>docs/guide/gb28181-access.md；src/web/src/views/gam/taskManager/components/Gb28181Dialog.vue</x:v>
      </x:c>
      <x:c r="P64" s="17" t="str">
        <x:v>未执行</x:v>
      </x:c>
      <x:c r="Q64" s="19" t="str"/>
      <x:c r="R64" s="17" t="str"/>
      <x:c r="S64" s="17" t="str"/>
      <x:c r="T64" s="17" t="n">
        <x:v>1</x:v>
      </x:c>
      <x:c r="U64" s="17" t="str">
        <x:v>DUT；CAM-HK-A；CAM-DH；CAM-HK-B；NVR-A；GB-SETTINGS；RECOVERY-KIT</x:v>
      </x:c>
      <x:c r="V64" s="17" t="str">
        <x:v>codex-ui-and-evidence</x:v>
      </x:c>
      <x:c r="W64" s="17" t="str"/>
      <x:c r="X64" s="17" t="str"/>
      <x:c r="Y64" s="17" t="str"/>
      <x:c r="Z64" s="17" t="str"/>
      <x:c r="AA64" s="17" t="str"/>
      <x:c r="AB64" s="17" t="str"/>
      <x:c r="AC64" s="17" t="str"/>
    </x:row>
    <x:row r="65" ht="53" customHeight="1">
      <x:c r="A65" s="4" t="str">
        <x:v>GB-016</x:v>
      </x:c>
      <x:c r="B65" s="4" t="str">
        <x:v>J02</x:v>
      </x:c>
      <x:c r="C65" s="4" t="str">
        <x:v>GB28181 接入</x:v>
      </x:c>
      <x:c r="D65" s="4" t="str">
        <x:v>P0</x:v>
      </x:c>
      <x:c r="E65" s="4" t="str">
        <x:v>凭据密钥备份恢复</x:v>
      </x:c>
      <x:c r="F65" s="4" t="str">
        <x:v>目标运行SRS与管理版SIP；已确认可修改测试设备接入配置；隔离恢复实例</x:v>
      </x:c>
      <x:c r="G65" s="4" t="str">
        <x:v>CAM-HK-A；CAM-DH；CAM-HK-B；NVR-A；SIP参数待补</x:v>
      </x:c>
      <x:c r="H65" s="4" t="str">
        <x:v>1. 连同key和settings备份
2. 恢复并注册
3. 单独模拟缺失key</x:v>
      </x:c>
      <x:c r="I65" s="4" t="str">
        <x:v>完整备份可用；密钥缺失解密失败明确；不降级为免认证或覆盖原配置。</x:v>
      </x:c>
      <x:c r="J65" s="4" t="str">
        <x:v>恢复原平台设置和设备登记；清理本轮视频通道；保留密钥备份</x:v>
      </x:c>
      <x:c r="K65" s="4" t="str">
        <x:v>步骤观察、实际结果、证据文件与清理核对</x:v>
      </x:c>
      <x:c r="L65" s="4" t="str">
        <x:v>UI主操作＋API只读核对</x:v>
      </x:c>
      <x:c r="M65" s="4" t="str">
        <x:v>发布全量/高影响</x:v>
      </x:c>
      <x:c r="N65" s="4" t="str">
        <x:v>目标设备具备该能力</x:v>
      </x:c>
      <x:c r="O65" s="4" t="str">
        <x:v>docs/guide/gb28181-access.md；src/web/src/views/gam/taskManager/components/Gb28181Dialog.vue</x:v>
      </x:c>
      <x:c r="P65" s="4" t="str">
        <x:v>未执行</x:v>
      </x:c>
      <x:c r="Q65" s="19" t="str"/>
      <x:c r="R65" s="12" t="str"/>
      <x:c r="S65" s="12" t="str"/>
      <x:c r="T65" s="4" t="n">
        <x:v>1</x:v>
      </x:c>
      <x:c r="U65" s="4" t="str">
        <x:v>DUT；CAM-HK-A；CAM-DH；CAM-HK-B；NVR-A；GB-SETTINGS；RECOVERY-KIT</x:v>
      </x:c>
      <x:c r="V65" s="4" t="str">
        <x:v>codex-ui-and-evidence</x:v>
      </x:c>
      <x:c r="W65" s="4" t="str"/>
      <x:c r="X65" s="4" t="str"/>
      <x:c r="Y65" s="4" t="str"/>
      <x:c r="Z65" s="4" t="str"/>
      <x:c r="AA65" s="4" t="str"/>
      <x:c r="AB65" s="4" t="str"/>
      <x:c r="AC65" s="4" t="str"/>
    </x:row>
    <x:row r="66" ht="68" customHeight="1">
      <x:c r="A66" s="17" t="str">
        <x:v>GB-017</x:v>
      </x:c>
      <x:c r="B66" s="17" t="str">
        <x:v>J02</x:v>
      </x:c>
      <x:c r="C66" s="17" t="str">
        <x:v>GB28181 接入</x:v>
      </x:c>
      <x:c r="D66" s="17" t="str">
        <x:v>P1</x:v>
      </x:c>
      <x:c r="E66" s="17" t="str">
        <x:v>免密码兼容选项</x:v>
      </x:c>
      <x:c r="F66" s="17" t="str">
        <x:v>目标运行SRS与管理版SIP；已确认可修改测试设备接入配置；隔离网络专用模拟设备</x:v>
      </x:c>
      <x:c r="G66" s="17" t="str">
        <x:v>CAM-HK-A；CAM-DH；CAM-HK-B；NVR-A；SIP参数待补</x:v>
      </x:c>
      <x:c r="H66" s="17" t="str">
        <x:v>1. 检查默认关闭
2. 显式启用特定登记设备
3. 测未登记编码
4. 关闭后重新验证</x:v>
      </x:c>
      <x:c r="I66" s="17" t="str">
        <x:v>只在显式启用时适用；未登记编码仍拒绝；关闭后恢复认证；不是默认接入方式。</x:v>
      </x:c>
      <x:c r="J66" s="17" t="str">
        <x:v>恢复原平台设置和设备登记；清理本轮视频通道；保留密钥备份</x:v>
      </x:c>
      <x:c r="K66" s="17" t="str">
        <x:v>步骤观察、实际结果、证据文件与清理核对</x:v>
      </x:c>
      <x:c r="L66" s="17" t="str">
        <x:v>UI主操作＋API只读核对</x:v>
      </x:c>
      <x:c r="M66" s="17" t="str">
        <x:v>发布全量/高影响</x:v>
      </x:c>
      <x:c r="N66" s="17" t="str">
        <x:v>目标设备具备该能力</x:v>
      </x:c>
      <x:c r="O66" s="17" t="str">
        <x:v>docs/guide/gb28181-access.md；src/web/src/views/gam/taskManager/components/Gb28181Dialog.vue</x:v>
      </x:c>
      <x:c r="P66" s="17" t="str">
        <x:v>未执行</x:v>
      </x:c>
      <x:c r="Q66" s="19" t="str"/>
      <x:c r="R66" s="17" t="str"/>
      <x:c r="S66" s="17" t="str"/>
      <x:c r="T66" s="17" t="n">
        <x:v>1</x:v>
      </x:c>
      <x:c r="U66" s="17" t="str">
        <x:v>DUT；CAM-HK-A；CAM-DH；CAM-HK-B；NVR-A；GB-SETTINGS</x:v>
      </x:c>
      <x:c r="V66" s="17" t="str">
        <x:v>codex-ui-and-evidence</x:v>
      </x:c>
      <x:c r="W66" s="17" t="str"/>
      <x:c r="X66" s="17" t="str"/>
      <x:c r="Y66" s="17" t="str"/>
      <x:c r="Z66" s="17" t="str"/>
      <x:c r="AA66" s="17" t="str"/>
      <x:c r="AB66" s="17" t="str"/>
      <x:c r="AC66" s="17" t="str"/>
    </x:row>
    <x:row r="67" ht="53" customHeight="1">
      <x:c r="A67" s="4" t="str">
        <x:v>GB-018</x:v>
      </x:c>
      <x:c r="B67" s="4" t="str">
        <x:v>J02</x:v>
      </x:c>
      <x:c r="C67" s="4" t="str">
        <x:v>GB28181 接入</x:v>
      </x:c>
      <x:c r="D67" s="4" t="str">
        <x:v>P1</x:v>
      </x:c>
      <x:c r="E67" s="4" t="str">
        <x:v>宇视不支持国标的边界</x:v>
      </x:c>
      <x:c r="F67" s="4" t="str">
        <x:v>目标运行SRS与管理版SIP；已确认可修改测试设备接入配置；用户已说明 CAM-UNV 不支持 GB28181</x:v>
      </x:c>
      <x:c r="G67" s="4" t="str">
        <x:v>CAM-HK-A；CAM-DH；CAM-HK-B；NVR-A；SIP参数待补</x:v>
      </x:c>
      <x:c r="H67" s="4" t="str">
        <x:v>1. 核对资源表标记
2. 选择其ONVIF/RTSP旅程
3. 核对全量结果分母</x:v>
      </x:c>
      <x:c r="I67" s="4" t="str">
        <x:v>宇视GB项列不适用且有理由；宇视视频接入仍必须通过其支持协议；不虚构国标通过。</x:v>
      </x:c>
      <x:c r="J67" s="4" t="str">
        <x:v>恢复原平台设置和设备登记；清理本轮视频通道；保留密钥备份</x:v>
      </x:c>
      <x:c r="K67" s="4" t="str">
        <x:v>步骤观察、实际结果、证据文件与清理核对</x:v>
      </x:c>
      <x:c r="L67" s="4" t="str">
        <x:v>UI主操作＋API只读核对</x:v>
      </x:c>
      <x:c r="M67" s="4" t="str">
        <x:v>受影响模块回归</x:v>
      </x:c>
      <x:c r="N67" s="4" t="str">
        <x:v>目标设备具备该能力</x:v>
      </x:c>
      <x:c r="O67" s="4" t="str">
        <x:v>docs/guide/gb28181-access.md；src/web/src/views/gam/taskManager/components/Gb28181Dialog.vue</x:v>
      </x:c>
      <x:c r="P67" s="4" t="str">
        <x:v>未执行</x:v>
      </x:c>
      <x:c r="Q67" s="19" t="str"/>
      <x:c r="R67" s="12" t="str"/>
      <x:c r="S67" s="12" t="str"/>
      <x:c r="T67" s="4" t="n">
        <x:v>1</x:v>
      </x:c>
      <x:c r="U67" s="4" t="str">
        <x:v>DUT；CAM-HK-A；CAM-DH；CAM-HK-B；NVR-A</x:v>
      </x:c>
      <x:c r="V67" s="4" t="str">
        <x:v>codex-ui-and-evidence</x:v>
      </x:c>
      <x:c r="W67" s="4" t="str"/>
      <x:c r="X67" s="4" t="str"/>
      <x:c r="Y67" s="4" t="str"/>
      <x:c r="Z67" s="4" t="str"/>
      <x:c r="AA67" s="4" t="str"/>
      <x:c r="AB67" s="4" t="str"/>
      <x:c r="AC67" s="4" t="str"/>
    </x:row>
    <x:row r="68" ht="68" customHeight="1">
      <x:c r="A68" s="17" t="str">
        <x:v>SCH-001</x:v>
      </x:c>
      <x:c r="B68" s="17" t="str">
        <x:v>J03</x:v>
      </x:c>
      <x:c r="C68" s="17" t="str">
        <x:v>时间计划</x:v>
      </x:c>
      <x:c r="D68" s="17" t="str">
        <x:v>P0</x:v>
      </x:c>
      <x:c r="E68" s="17" t="str">
        <x:v>新增修改时间模板</x:v>
      </x:c>
      <x:c r="F68" s="17" t="str">
        <x:v>创建本轮任务；记录设备时区和时间</x:v>
      </x:c>
      <x:c r="G68" s="17" t="str">
        <x:v>DUT；固定短视频</x:v>
      </x:c>
      <x:c r="H68" s="17" t="str">
        <x:v>1. 进入时间模板
2. 新增名称并拖拽周时间段
3. 保存重开
4. 修改星期和区间</x:v>
      </x:c>
      <x:c r="I68" s="17" t="str">
        <x:v>名称星期起止准确回读；拖动与表单表达一致；不丢失其他日期。</x:v>
      </x:c>
      <x:c r="J68" s="17" t="str">
        <x:v>解除引用后删除本轮计划；恢复时间</x:v>
      </x:c>
      <x:c r="K68" s="17" t="str">
        <x:v>步骤观察、实际结果、证据文件与清理核对</x:v>
      </x:c>
      <x:c r="L68" s="17" t="str">
        <x:v>UI主操作＋API只读核对</x:v>
      </x:c>
      <x:c r="M68" s="17" t="str">
        <x:v>受影响模块回归</x:v>
      </x:c>
      <x:c r="N68" s="17" t="str">
        <x:v>目标设备具备该能力</x:v>
      </x:c>
      <x:c r="O68" s="17" t="str">
        <x:v>src/web/src/views/box/videoAccess/timeTemplate/index.vue；src/web/src/api/box.js</x:v>
      </x:c>
      <x:c r="P68" s="17" t="str">
        <x:v>未执行</x:v>
      </x:c>
      <x:c r="Q68" s="19" t="str"/>
      <x:c r="R68" s="17" t="str"/>
      <x:c r="S68" s="17" t="str"/>
      <x:c r="T68" s="17" t="n">
        <x:v>1</x:v>
      </x:c>
      <x:c r="U68" s="17" t="str">
        <x:v>DUT</x:v>
      </x:c>
      <x:c r="V68" s="17" t="str">
        <x:v>codex-ui-and-evidence</x:v>
      </x:c>
      <x:c r="W68" s="17" t="str"/>
      <x:c r="X68" s="17" t="str"/>
      <x:c r="Y68" s="17" t="str"/>
      <x:c r="Z68" s="17" t="str"/>
      <x:c r="AA68" s="17" t="str"/>
      <x:c r="AB68" s="17" t="str"/>
      <x:c r="AC68" s="17" t="str"/>
    </x:row>
    <x:row r="69" ht="53" customHeight="1">
      <x:c r="A69" s="4" t="str">
        <x:v>SCH-002</x:v>
      </x:c>
      <x:c r="B69" s="4" t="str">
        <x:v>J03</x:v>
      </x:c>
      <x:c r="C69" s="4" t="str">
        <x:v>时间计划</x:v>
      </x:c>
      <x:c r="D69" s="4" t="str">
        <x:v>P0</x:v>
      </x:c>
      <x:c r="E69" s="4" t="str">
        <x:v>有效无效时间与边界</x:v>
      </x:c>
      <x:c r="F69" s="4" t="str">
        <x:v>创建本轮任务；记录设备时区和时间；使用即将跨越边界的计划</x:v>
      </x:c>
      <x:c r="G69" s="4" t="str">
        <x:v>DUT；固定短视频</x:v>
      </x:c>
      <x:c r="H69" s="4" t="str">
        <x:v>1. 任务绑定计划
2. 观察开始前/边界/段内/结束后
3. 查询处理计数</x:v>
      </x:c>
      <x:c r="I69" s="4" t="str">
        <x:v>仅在约定时段运行；边界无重复实例；统计和告警时间按同一时区解释。</x:v>
      </x:c>
      <x:c r="J69" s="4" t="str">
        <x:v>解除引用后删除本轮计划；恢复时间</x:v>
      </x:c>
      <x:c r="K69" s="4" t="str">
        <x:v>步骤观察、实际结果、证据文件与清理核对</x:v>
      </x:c>
      <x:c r="L69" s="4" t="str">
        <x:v>UI主操作＋API只读核对</x:v>
      </x:c>
      <x:c r="M69" s="4" t="str">
        <x:v>每次变更冒烟</x:v>
      </x:c>
      <x:c r="N69" s="4" t="str">
        <x:v>目标设备具备该能力</x:v>
      </x:c>
      <x:c r="O69" s="4" t="str">
        <x:v>src/web/src/views/box/videoAccess/timeTemplate/index.vue；src/web/src/api/box.js</x:v>
      </x:c>
      <x:c r="P69" s="4" t="str">
        <x:v>未执行</x:v>
      </x:c>
      <x:c r="Q69" s="19" t="str"/>
      <x:c r="R69" s="12" t="str"/>
      <x:c r="S69" s="12" t="str"/>
      <x:c r="T69" s="4" t="n">
        <x:v>1</x:v>
      </x:c>
      <x:c r="U69" s="4" t="str">
        <x:v>DUT</x:v>
      </x:c>
      <x:c r="V69" s="4" t="str">
        <x:v>codex-ui-and-evidence</x:v>
      </x:c>
      <x:c r="W69" s="4" t="str"/>
      <x:c r="X69" s="4" t="str"/>
      <x:c r="Y69" s="4" t="str"/>
      <x:c r="Z69" s="4" t="str"/>
      <x:c r="AA69" s="4" t="str"/>
      <x:c r="AB69" s="4" t="str"/>
      <x:c r="AC69" s="4" t="str"/>
    </x:row>
    <x:row r="70" ht="53" customHeight="1">
      <x:c r="A70" s="17" t="str">
        <x:v>SCH-003</x:v>
      </x:c>
      <x:c r="B70" s="17" t="str">
        <x:v>J03</x:v>
      </x:c>
      <x:c r="C70" s="17" t="str">
        <x:v>时间计划</x:v>
      </x:c>
      <x:c r="D70" s="17" t="str">
        <x:v>P1</x:v>
      </x:c>
      <x:c r="E70" s="17" t="str">
        <x:v>跨日与多个时间段</x:v>
      </x:c>
      <x:c r="F70" s="17" t="str">
        <x:v>创建本轮任务；记录设备时区和时间</x:v>
      </x:c>
      <x:c r="G70" s="17" t="str">
        <x:v>DUT；固定短视频</x:v>
      </x:c>
      <x:c r="H70" s="17" t="str">
        <x:v>1. 配置周日到周一边界及一天多段
2. 调整成重叠和逆序
3. 保存重开</x:v>
      </x:c>
      <x:c r="I70" s="17" t="str">
        <x:v>跨日表示清晰且按支持方式执行；重叠/逆序拒绝或明确规范化，不静默错时。</x:v>
      </x:c>
      <x:c r="J70" s="17" t="str">
        <x:v>解除引用后删除本轮计划；恢复时间</x:v>
      </x:c>
      <x:c r="K70" s="17" t="str">
        <x:v>步骤观察、实际结果、证据文件与清理核对</x:v>
      </x:c>
      <x:c r="L70" s="17" t="str">
        <x:v>UI主操作＋API只读核对</x:v>
      </x:c>
      <x:c r="M70" s="17" t="str">
        <x:v>受影响模块回归</x:v>
      </x:c>
      <x:c r="N70" s="17" t="str">
        <x:v>目标设备具备该能力</x:v>
      </x:c>
      <x:c r="O70" s="17" t="str">
        <x:v>src/web/src/views/box/videoAccess/timeTemplate/index.vue；src/web/src/api/box.js</x:v>
      </x:c>
      <x:c r="P70" s="17" t="str">
        <x:v>未执行</x:v>
      </x:c>
      <x:c r="Q70" s="19" t="str"/>
      <x:c r="R70" s="17" t="str"/>
      <x:c r="S70" s="17" t="str"/>
      <x:c r="T70" s="17" t="n">
        <x:v>1</x:v>
      </x:c>
      <x:c r="U70" s="17" t="str">
        <x:v>DUT</x:v>
      </x:c>
      <x:c r="V70" s="17" t="str">
        <x:v>codex-ui-and-evidence</x:v>
      </x:c>
      <x:c r="W70" s="17" t="str"/>
      <x:c r="X70" s="17" t="str"/>
      <x:c r="Y70" s="17" t="str"/>
      <x:c r="Z70" s="17" t="str"/>
      <x:c r="AA70" s="17" t="str"/>
      <x:c r="AB70" s="17" t="str"/>
      <x:c r="AC70" s="17" t="str"/>
    </x:row>
    <x:row r="71" ht="68" customHeight="1">
      <x:c r="A71" s="4" t="str">
        <x:v>SCH-004</x:v>
      </x:c>
      <x:c r="B71" s="4" t="str">
        <x:v>J03</x:v>
      </x:c>
      <x:c r="C71" s="4" t="str">
        <x:v>时间计划</x:v>
      </x:c>
      <x:c r="D71" s="4" t="str">
        <x:v>P1</x:v>
      </x:c>
      <x:c r="E71" s="4" t="str">
        <x:v>空计划全天与复制</x:v>
      </x:c>
      <x:c r="F71" s="4" t="str">
        <x:v>创建本轮任务；记录设备时区和时间</x:v>
      </x:c>
      <x:c r="G71" s="4" t="str">
        <x:v>DUT；固定短视频</x:v>
      </x:c>
      <x:c r="H71" s="4" t="str">
        <x:v>1. 清空一天
2. 设置全天
3. 使用界面支持的复制方式
4. 逐日复查</x:v>
      </x:c>
      <x:c r="I71" s="4" t="str">
        <x:v>空时段与全天不同；复制只影响选定日期；未提供复制能力不虚构按钮。</x:v>
      </x:c>
      <x:c r="J71" s="4" t="str">
        <x:v>解除引用后删除本轮计划；恢复时间</x:v>
      </x:c>
      <x:c r="K71" s="4" t="str">
        <x:v>步骤观察、实际结果、证据文件与清理核对</x:v>
      </x:c>
      <x:c r="L71" s="4" t="str">
        <x:v>UI主操作＋API只读核对</x:v>
      </x:c>
      <x:c r="M71" s="4" t="str">
        <x:v>受影响模块回归</x:v>
      </x:c>
      <x:c r="N71" s="4" t="str">
        <x:v>目标设备具备该能力</x:v>
      </x:c>
      <x:c r="O71" s="4" t="str">
        <x:v>src/web/src/views/box/videoAccess/timeTemplate/index.vue；src/web/src/api/box.js</x:v>
      </x:c>
      <x:c r="P71" s="4" t="str">
        <x:v>未执行</x:v>
      </x:c>
      <x:c r="Q71" s="19" t="str"/>
      <x:c r="R71" s="12" t="str"/>
      <x:c r="S71" s="12" t="str"/>
      <x:c r="T71" s="4" t="n">
        <x:v>1</x:v>
      </x:c>
      <x:c r="U71" s="4" t="str">
        <x:v>DUT</x:v>
      </x:c>
      <x:c r="V71" s="4" t="str">
        <x:v>codex-ui-and-evidence</x:v>
      </x:c>
      <x:c r="W71" s="4" t="str"/>
      <x:c r="X71" s="4" t="str"/>
      <x:c r="Y71" s="4" t="str"/>
      <x:c r="Z71" s="4" t="str"/>
      <x:c r="AA71" s="4" t="str"/>
      <x:c r="AB71" s="4" t="str"/>
      <x:c r="AC71" s="4" t="str"/>
    </x:row>
    <x:row r="72" ht="53" customHeight="1">
      <x:c r="A72" s="17" t="str">
        <x:v>SCH-005</x:v>
      </x:c>
      <x:c r="B72" s="17" t="str">
        <x:v>J03</x:v>
      </x:c>
      <x:c r="C72" s="17" t="str">
        <x:v>时间计划</x:v>
      </x:c>
      <x:c r="D72" s="17" t="str">
        <x:v>P1</x:v>
      </x:c>
      <x:c r="E72" s="17" t="str">
        <x:v>计划引用删除和重启</x:v>
      </x:c>
      <x:c r="F72" s="17" t="str">
        <x:v>创建本轮任务；记录设备时区和时间；本轮计划正在被任务引用</x:v>
      </x:c>
      <x:c r="G72" s="17" t="str">
        <x:v>DUT；固定短视频</x:v>
      </x:c>
      <x:c r="H72" s="17" t="str">
        <x:v>1. 尝试删除有引用计划
2. 处理依赖后删除
3. 另建计划绑定并重启服务</x:v>
      </x:c>
      <x:c r="I72" s="17" t="str">
        <x:v>依赖处理明确；不留下无计划的活动任务；重启后有效计划保持。</x:v>
      </x:c>
      <x:c r="J72" s="17" t="str">
        <x:v>解除引用后删除本轮计划；恢复时间</x:v>
      </x:c>
      <x:c r="K72" s="17" t="str">
        <x:v>步骤观察、实际结果、证据文件与清理核对</x:v>
      </x:c>
      <x:c r="L72" s="17" t="str">
        <x:v>UI主操作＋API只读核对</x:v>
      </x:c>
      <x:c r="M72" s="17" t="str">
        <x:v>受影响模块回归</x:v>
      </x:c>
      <x:c r="N72" s="17" t="str">
        <x:v>目标设备具备该能力</x:v>
      </x:c>
      <x:c r="O72" s="17" t="str">
        <x:v>src/web/src/views/box/videoAccess/timeTemplate/index.vue；src/web/src/api/box.js</x:v>
      </x:c>
      <x:c r="P72" s="17" t="str">
        <x:v>未执行</x:v>
      </x:c>
      <x:c r="Q72" s="19" t="str"/>
      <x:c r="R72" s="17" t="str"/>
      <x:c r="S72" s="17" t="str"/>
      <x:c r="T72" s="17" t="n">
        <x:v>1</x:v>
      </x:c>
      <x:c r="U72" s="17" t="str">
        <x:v>DUT</x:v>
      </x:c>
      <x:c r="V72" s="17" t="str">
        <x:v>codex-ui-and-evidence</x:v>
      </x:c>
      <x:c r="W72" s="17" t="str"/>
      <x:c r="X72" s="17" t="str"/>
      <x:c r="Y72" s="17" t="str"/>
      <x:c r="Z72" s="17" t="str"/>
      <x:c r="AA72" s="17" t="str"/>
      <x:c r="AB72" s="17" t="str"/>
      <x:c r="AC72" s="17" t="str"/>
    </x:row>
    <x:row r="73" ht="53" customHeight="1">
      <x:c r="A73" s="4" t="str">
        <x:v>SCH-006</x:v>
      </x:c>
      <x:c r="B73" s="4" t="str">
        <x:v>J03</x:v>
      </x:c>
      <x:c r="C73" s="4" t="str">
        <x:v>时间计划</x:v>
      </x:c>
      <x:c r="D73" s="4" t="str">
        <x:v>P2</x:v>
      </x:c>
      <x:c r="E73" s="4" t="str">
        <x:v>计划名称与批量任务</x:v>
      </x:c>
      <x:c r="F73" s="4" t="str">
        <x:v>创建本轮任务；记录设备时区和时间</x:v>
      </x:c>
      <x:c r="G73" s="4" t="str">
        <x:v>DUT；固定短视频</x:v>
      </x:c>
      <x:c r="H73" s="4" t="str">
        <x:v>1. 输入空名、超长名和重复名
2. 对多路绑定同一合法计划
3. 修改计划</x:v>
      </x:c>
      <x:c r="I73" s="4" t="str">
        <x:v>校验规则明确；引用任务按新计划运行；其他计划和任务不被改变。</x:v>
      </x:c>
      <x:c r="J73" s="4" t="str">
        <x:v>解除引用后删除本轮计划；恢复时间</x:v>
      </x:c>
      <x:c r="K73" s="4" t="str">
        <x:v>步骤观察、实际结果、证据文件与清理核对</x:v>
      </x:c>
      <x:c r="L73" s="4" t="str">
        <x:v>UI主操作＋API只读核对</x:v>
      </x:c>
      <x:c r="M73" s="4" t="str">
        <x:v>受影响模块回归</x:v>
      </x:c>
      <x:c r="N73" s="4" t="str">
        <x:v>目标设备具备该能力</x:v>
      </x:c>
      <x:c r="O73" s="4" t="str">
        <x:v>src/web/src/views/box/videoAccess/timeTemplate/index.vue；src/web/src/api/box.js</x:v>
      </x:c>
      <x:c r="P73" s="4" t="str">
        <x:v>未执行</x:v>
      </x:c>
      <x:c r="Q73" s="19" t="str"/>
      <x:c r="R73" s="12" t="str"/>
      <x:c r="S73" s="12" t="str"/>
      <x:c r="T73" s="4" t="n">
        <x:v>1</x:v>
      </x:c>
      <x:c r="U73" s="4" t="str">
        <x:v>DUT</x:v>
      </x:c>
      <x:c r="V73" s="4" t="str">
        <x:v>codex-ui-and-evidence</x:v>
      </x:c>
      <x:c r="W73" s="4" t="str"/>
      <x:c r="X73" s="4" t="str"/>
      <x:c r="Y73" s="4" t="str"/>
      <x:c r="Z73" s="4" t="str"/>
      <x:c r="AA73" s="4" t="str"/>
      <x:c r="AB73" s="4" t="str"/>
      <x:c r="AC73" s="4" t="str"/>
    </x:row>
    <x:row r="74" ht="68" customHeight="1">
      <x:c r="A74" s="17" t="str">
        <x:v>SCENE-001</x:v>
      </x:c>
      <x:c r="B74" s="17" t="str">
        <x:v>J03</x:v>
      </x:c>
      <x:c r="C74" s="17" t="str">
        <x:v>场景管理</x:v>
      </x:c>
      <x:c r="D74" s="17" t="str">
        <x:v>P0</x:v>
      </x:c>
      <x:c r="E74" s="17" t="str">
        <x:v>从模板创建视频场景</x:v>
      </x:c>
      <x:c r="F74" s="17" t="str">
        <x:v>已登录；识别已安装和缺失模型</x:v>
      </x:c>
      <x:c r="G74" s="17" t="str">
        <x:v>44个模板；目标专用模型</x:v>
      </x:c>
      <x:c r="H74" s="17" t="str">
        <x:v>1. 点击创建任务
2. 选视频类型和模板
3. 填名称说明
4. 保存并进入编排</x:v>
      </x:c>
      <x:c r="I74" s="17" t="str">
        <x:v>模板节点模型引用与参数完整；场景卡片类型和模型状态准确；可绑定视频通道。</x:v>
      </x:c>
      <x:c r="J74" s="17" t="str">
        <x:v>解绑任务后删除本轮场景；恢复修改过的默认值</x:v>
      </x:c>
      <x:c r="K74" s="17" t="str">
        <x:v>步骤观察、实际结果、证据文件与清理核对</x:v>
      </x:c>
      <x:c r="L74" s="17" t="str">
        <x:v>UI主操作＋API只读核对</x:v>
      </x:c>
      <x:c r="M74" s="17" t="str">
        <x:v>每次变更冒烟</x:v>
      </x:c>
      <x:c r="N74" s="17" t="str">
        <x:v>目标设备具备该能力</x:v>
      </x:c>
      <x:c r="O74" s="17" t="str">
        <x:v>src/web/src/views/gam/countManagement/algorithmicManagement/algorithmicIndex.vue</x:v>
      </x:c>
      <x:c r="P74" s="17" t="str">
        <x:v>未执行</x:v>
      </x:c>
      <x:c r="Q74" s="19" t="str"/>
      <x:c r="R74" s="17" t="str"/>
      <x:c r="S74" s="17" t="str"/>
      <x:c r="T74" s="17" t="n">
        <x:v>1</x:v>
      </x:c>
      <x:c r="U74" s="17" t="str">
        <x:v>DUT；MODEL-INVENTORY</x:v>
      </x:c>
      <x:c r="V74" s="17" t="str">
        <x:v>codex-ui-and-evidence</x:v>
      </x:c>
      <x:c r="W74" s="17" t="str"/>
      <x:c r="X74" s="17" t="str"/>
      <x:c r="Y74" s="17" t="str"/>
      <x:c r="Z74" s="17" t="str"/>
      <x:c r="AA74" s="17" t="str"/>
      <x:c r="AB74" s="17" t="str"/>
      <x:c r="AC74" s="17" t="str"/>
    </x:row>
    <x:row r="75" ht="53" customHeight="1">
      <x:c r="A75" s="4" t="str">
        <x:v>SCENE-002</x:v>
      </x:c>
      <x:c r="B75" s="4" t="str">
        <x:v>J03</x:v>
      </x:c>
      <x:c r="C75" s="4" t="str">
        <x:v>场景管理</x:v>
      </x:c>
      <x:c r="D75" s="4" t="str">
        <x:v>P0</x:v>
      </x:c>
      <x:c r="E75" s="4" t="str">
        <x:v>图片类型筛选与创建</x:v>
      </x:c>
      <x:c r="F75" s="4" t="str">
        <x:v>已登录；识别已安装和缺失模型</x:v>
      </x:c>
      <x:c r="G75" s="4" t="str">
        <x:v>44个模板；目标专用模型</x:v>
      </x:c>
      <x:c r="H75" s="4" t="str">
        <x:v>1. 新建图片场景
2. 在数据源类型筛选图片/视频/全部
3. 到图片分析选择</x:v>
      </x:c>
      <x:c r="I75" s="4" t="str">
        <x:v>筛选集合正确；图片分析下拉只列图片类；旧视频模板保持原语义。</x:v>
      </x:c>
      <x:c r="J75" s="4" t="str">
        <x:v>解绑任务后删除本轮场景；恢复修改过的默认值</x:v>
      </x:c>
      <x:c r="K75" s="4" t="str">
        <x:v>步骤观察、实际结果、证据文件与清理核对</x:v>
      </x:c>
      <x:c r="L75" s="4" t="str">
        <x:v>UI主操作＋API只读核对</x:v>
      </x:c>
      <x:c r="M75" s="4" t="str">
        <x:v>受影响模块回归</x:v>
      </x:c>
      <x:c r="N75" s="4" t="str">
        <x:v>目标设备具备该能力</x:v>
      </x:c>
      <x:c r="O75" s="4" t="str">
        <x:v>src/web/src/views/gam/countManagement/algorithmicManagement/algorithmicIndex.vue</x:v>
      </x:c>
      <x:c r="P75" s="4" t="str">
        <x:v>未执行</x:v>
      </x:c>
      <x:c r="Q75" s="19" t="str"/>
      <x:c r="R75" s="12" t="str"/>
      <x:c r="S75" s="12" t="str"/>
      <x:c r="T75" s="4" t="n">
        <x:v>1</x:v>
      </x:c>
      <x:c r="U75" s="4" t="str">
        <x:v>DUT；MODEL-INVENTORY</x:v>
      </x:c>
      <x:c r="V75" s="4" t="str">
        <x:v>codex-ui-and-evidence</x:v>
      </x:c>
      <x:c r="W75" s="4" t="str"/>
      <x:c r="X75" s="4" t="str"/>
      <x:c r="Y75" s="4" t="str"/>
      <x:c r="Z75" s="4" t="str"/>
      <x:c r="AA75" s="4" t="str"/>
      <x:c r="AB75" s="4" t="str"/>
      <x:c r="AC75" s="4" t="str"/>
    </x:row>
    <x:row r="76" ht="53" customHeight="1">
      <x:c r="A76" s="17" t="str">
        <x:v>SCENE-003</x:v>
      </x:c>
      <x:c r="B76" s="17" t="str">
        <x:v>J03</x:v>
      </x:c>
      <x:c r="C76" s="17" t="str">
        <x:v>场景管理</x:v>
      </x:c>
      <x:c r="D76" s="17" t="str">
        <x:v>P1</x:v>
      </x:c>
      <x:c r="E76" s="17" t="str">
        <x:v>场景名称类别和集成ID编辑</x:v>
      </x:c>
      <x:c r="F76" s="17" t="str">
        <x:v>已登录；识别已安装和缺失模型；自建可编辑场景</x:v>
      </x:c>
      <x:c r="G76" s="17" t="str">
        <x:v>44个模板；目标专用模型</x:v>
      </x:c>
      <x:c r="H76" s="17" t="str">
        <x:v>1. 修改名称说明类别和可编辑集成ID
2. 保存刷新
3. 尝试空名非法ID</x:v>
      </x:c>
      <x:c r="I76" s="17" t="str">
        <x:v>字段按契约持久化；非法值被拒绝；绑定关系不因改名失效。</x:v>
      </x:c>
      <x:c r="J76" s="17" t="str">
        <x:v>解绑任务后删除本轮场景；恢复修改过的默认值</x:v>
      </x:c>
      <x:c r="K76" s="17" t="str">
        <x:v>步骤观察、实际结果、证据文件与清理核对</x:v>
      </x:c>
      <x:c r="L76" s="17" t="str">
        <x:v>UI主操作＋API只读核对</x:v>
      </x:c>
      <x:c r="M76" s="17" t="str">
        <x:v>受影响模块回归</x:v>
      </x:c>
      <x:c r="N76" s="17" t="str">
        <x:v>目标设备具备该能力</x:v>
      </x:c>
      <x:c r="O76" s="17" t="str">
        <x:v>src/web/src/views/gam/countManagement/algorithmicManagement/algorithmicIndex.vue</x:v>
      </x:c>
      <x:c r="P76" s="17" t="str">
        <x:v>未执行</x:v>
      </x:c>
      <x:c r="Q76" s="19" t="str"/>
      <x:c r="R76" s="17" t="str"/>
      <x:c r="S76" s="17" t="str"/>
      <x:c r="T76" s="17" t="n">
        <x:v>1</x:v>
      </x:c>
      <x:c r="U76" s="17" t="str">
        <x:v>DUT；MODEL-INVENTORY</x:v>
      </x:c>
      <x:c r="V76" s="17" t="str">
        <x:v>codex-ui-and-evidence</x:v>
      </x:c>
      <x:c r="W76" s="17" t="str"/>
      <x:c r="X76" s="17" t="str"/>
      <x:c r="Y76" s="17" t="str"/>
      <x:c r="Z76" s="17" t="str"/>
      <x:c r="AA76" s="17" t="str"/>
      <x:c r="AB76" s="17" t="str"/>
      <x:c r="AC76" s="17" t="str"/>
    </x:row>
    <x:row r="77" ht="68" customHeight="1">
      <x:c r="A77" s="4" t="str">
        <x:v>SCENE-004</x:v>
      </x:c>
      <x:c r="B77" s="4" t="str">
        <x:v>J03</x:v>
      </x:c>
      <x:c r="C77" s="4" t="str">
        <x:v>场景管理</x:v>
      </x:c>
      <x:c r="D77" s="4" t="str">
        <x:v>P0</x:v>
      </x:c>
      <x:c r="E77" s="4" t="str">
        <x:v>导入有效场景包</x:v>
      </x:c>
      <x:c r="F77" s="4" t="str">
        <x:v>已登录；识别已安装和缺失模型；与本机目标匹配的tar.gz/tgz</x:v>
      </x:c>
      <x:c r="G77" s="4" t="str">
        <x:v>44个模板；目标专用模型</x:v>
      </x:c>
      <x:c r="H77" s="4" t="str">
        <x:v>1. 点击导入任务
2. 上传包
3. 查看卡片及依赖模型
4. 绑定固定输入运行</x:v>
      </x:c>
      <x:c r="I77" s="4" t="str">
        <x:v>上传完成后确实生成可运行场景；依赖缺失时明确提示，不假报模型正常。</x:v>
      </x:c>
      <x:c r="J77" s="4" t="str">
        <x:v>解绑任务后删除本轮场景；恢复修改过的默认值</x:v>
      </x:c>
      <x:c r="K77" s="4" t="str">
        <x:v>步骤观察、实际结果、证据文件与清理核对</x:v>
      </x:c>
      <x:c r="L77" s="4" t="str">
        <x:v>UI主操作＋API只读核对</x:v>
      </x:c>
      <x:c r="M77" s="4" t="str">
        <x:v>受影响模块回归</x:v>
      </x:c>
      <x:c r="N77" s="4" t="str">
        <x:v>目标设备具备该能力</x:v>
      </x:c>
      <x:c r="O77" s="4" t="str">
        <x:v>src/web/src/views/gam/countManagement/algorithmicManagement/algorithmicIndex.vue</x:v>
      </x:c>
      <x:c r="P77" s="4" t="str">
        <x:v>未执行</x:v>
      </x:c>
      <x:c r="Q77" s="19" t="str"/>
      <x:c r="R77" s="12" t="str"/>
      <x:c r="S77" s="12" t="str"/>
      <x:c r="T77" s="4" t="n">
        <x:v>1</x:v>
      </x:c>
      <x:c r="U77" s="4" t="str">
        <x:v>DUT；MODEL-INVENTORY</x:v>
      </x:c>
      <x:c r="V77" s="4" t="str">
        <x:v>codex-ui-and-evidence</x:v>
      </x:c>
      <x:c r="W77" s="4" t="str"/>
      <x:c r="X77" s="4" t="str"/>
      <x:c r="Y77" s="4" t="str"/>
      <x:c r="Z77" s="4" t="str"/>
      <x:c r="AA77" s="4" t="str"/>
      <x:c r="AB77" s="4" t="str"/>
      <x:c r="AC77" s="4" t="str"/>
    </x:row>
    <x:row r="78" ht="68" customHeight="1">
      <x:c r="A78" s="17" t="str">
        <x:v>SCENE-005</x:v>
      </x:c>
      <x:c r="B78" s="17" t="str">
        <x:v>J03</x:v>
      </x:c>
      <x:c r="C78" s="17" t="str">
        <x:v>场景管理</x:v>
      </x:c>
      <x:c r="D78" s="17" t="str">
        <x:v>P1</x:v>
      </x:c>
      <x:c r="E78" s="17" t="str">
        <x:v>导出单个和全部场景</x:v>
      </x:c>
      <x:c r="F78" s="17" t="str">
        <x:v>已登录；识别已安装和缺失模型；隔离导入目标</x:v>
      </x:c>
      <x:c r="G78" s="17" t="str">
        <x:v>44个模板；目标专用模型</x:v>
      </x:c>
      <x:c r="H78" s="17" t="str">
        <x:v>1. 调用对应导出入口/接口
2. 校验文件类型
3. 在隔离实例重新导入
4. 对比节点参数和模型引用</x:v>
      </x:c>
      <x:c r="I78" s="17" t="str">
        <x:v>单个zip与全部tar.gz契约准确；可回读且语义不丢失；不假设单个zip能直接走只接tar.gz的UI导入。</x:v>
      </x:c>
      <x:c r="J78" s="17" t="str">
        <x:v>解绑任务后删除本轮场景；恢复修改过的默认值</x:v>
      </x:c>
      <x:c r="K78" s="17" t="str">
        <x:v>步骤观察、实际结果、证据文件与清理核对</x:v>
      </x:c>
      <x:c r="L78" s="17" t="str">
        <x:v>UI主操作＋API只读核对</x:v>
      </x:c>
      <x:c r="M78" s="17" t="str">
        <x:v>受影响模块回归</x:v>
      </x:c>
      <x:c r="N78" s="17" t="str">
        <x:v>目标设备具备该能力</x:v>
      </x:c>
      <x:c r="O78" s="17" t="str">
        <x:v>src/web/src/views/gam/countManagement/algorithmicManagement/algorithmicIndex.vue</x:v>
      </x:c>
      <x:c r="P78" s="17" t="str">
        <x:v>未执行</x:v>
      </x:c>
      <x:c r="Q78" s="19" t="str"/>
      <x:c r="R78" s="17" t="str"/>
      <x:c r="S78" s="17" t="str"/>
      <x:c r="T78" s="17" t="n">
        <x:v>1</x:v>
      </x:c>
      <x:c r="U78" s="17" t="str">
        <x:v>DUT；MODEL-INVENTORY</x:v>
      </x:c>
      <x:c r="V78" s="17" t="str">
        <x:v>codex-ui-and-evidence</x:v>
      </x:c>
      <x:c r="W78" s="17" t="str"/>
      <x:c r="X78" s="17" t="str"/>
      <x:c r="Y78" s="17" t="str"/>
      <x:c r="Z78" s="17" t="str"/>
      <x:c r="AA78" s="17" t="str"/>
      <x:c r="AB78" s="17" t="str"/>
      <x:c r="AC78" s="17" t="str"/>
    </x:row>
    <x:row r="79" ht="53" customHeight="1">
      <x:c r="A79" s="4" t="str">
        <x:v>SCENE-006</x:v>
      </x:c>
      <x:c r="B79" s="4" t="str">
        <x:v>J03</x:v>
      </x:c>
      <x:c r="C79" s="4" t="str">
        <x:v>场景管理</x:v>
      </x:c>
      <x:c r="D79" s="4" t="str">
        <x:v>P1</x:v>
      </x:c>
      <x:c r="E79" s="4" t="str">
        <x:v>重复冲突和损坏场景包</x:v>
      </x:c>
      <x:c r="F79" s="4" t="str">
        <x:v>已登录；识别已安装和缺失模型；同ID不同内容、坏归档及缺依赖包</x:v>
      </x:c>
      <x:c r="G79" s="4" t="str">
        <x:v>44个模板；目标专用模型</x:v>
      </x:c>
      <x:c r="H79" s="4" t="str">
        <x:v>1. 分别导入
2. 记录冲突处理
3. 复查旧场景及任务</x:v>
      </x:c>
      <x:c r="I79" s="4" t="str">
        <x:v>冲突不静默覆盖运行配置；错误可解释；原场景可用；半导入状态可追踪清理。</x:v>
      </x:c>
      <x:c r="J79" s="4" t="str">
        <x:v>解绑任务后删除本轮场景；恢复修改过的默认值</x:v>
      </x:c>
      <x:c r="K79" s="4" t="str">
        <x:v>步骤观察、实际结果、证据文件与清理核对</x:v>
      </x:c>
      <x:c r="L79" s="4" t="str">
        <x:v>UI主操作＋API只读核对</x:v>
      </x:c>
      <x:c r="M79" s="4" t="str">
        <x:v>受影响模块回归</x:v>
      </x:c>
      <x:c r="N79" s="4" t="str">
        <x:v>目标设备具备该能力</x:v>
      </x:c>
      <x:c r="O79" s="4" t="str">
        <x:v>src/web/src/views/gam/countManagement/algorithmicManagement/algorithmicIndex.vue</x:v>
      </x:c>
      <x:c r="P79" s="4" t="str">
        <x:v>未执行</x:v>
      </x:c>
      <x:c r="Q79" s="19" t="str"/>
      <x:c r="R79" s="12" t="str"/>
      <x:c r="S79" s="12" t="str"/>
      <x:c r="T79" s="4" t="n">
        <x:v>1</x:v>
      </x:c>
      <x:c r="U79" s="4" t="str">
        <x:v>DUT；MODEL-INVENTORY</x:v>
      </x:c>
      <x:c r="V79" s="4" t="str">
        <x:v>codex-ui-and-evidence</x:v>
      </x:c>
      <x:c r="W79" s="4" t="str"/>
      <x:c r="X79" s="4" t="str"/>
      <x:c r="Y79" s="4" t="str"/>
      <x:c r="Z79" s="4" t="str"/>
      <x:c r="AA79" s="4" t="str"/>
      <x:c r="AB79" s="4" t="str"/>
      <x:c r="AC79" s="4" t="str"/>
    </x:row>
    <x:row r="80" ht="68" customHeight="1">
      <x:c r="A80" s="17" t="str">
        <x:v>SCENE-007</x:v>
      </x:c>
      <x:c r="B80" s="17" t="str">
        <x:v>J03</x:v>
      </x:c>
      <x:c r="C80" s="17" t="str">
        <x:v>场景管理</x:v>
      </x:c>
      <x:c r="D80" s="17" t="str">
        <x:v>P1</x:v>
      </x:c>
      <x:c r="E80" s="17" t="str">
        <x:v>单删批删与预置保护</x:v>
      </x:c>
      <x:c r="F80" s="17" t="str">
        <x:v>已登录；识别已安装和缺失模型；本轮自建、有引用、预置场景</x:v>
      </x:c>
      <x:c r="G80" s="17" t="str">
        <x:v>44个模板；目标专用模型</x:v>
      </x:c>
      <x:c r="H80" s="17" t="str">
        <x:v>1. 取消删除
2. 删无引用场景
3. 批删
4. 尝试删有引用和受保护场景</x:v>
      </x:c>
      <x:c r="I80" s="17" t="str">
        <x:v>只影响选定对象；依赖处理明确；预置保护前后端一致。</x:v>
      </x:c>
      <x:c r="J80" s="17" t="str">
        <x:v>解绑任务后删除本轮场景；恢复修改过的默认值</x:v>
      </x:c>
      <x:c r="K80" s="17" t="str">
        <x:v>步骤观察、实际结果、证据文件与清理核对</x:v>
      </x:c>
      <x:c r="L80" s="17" t="str">
        <x:v>UI主操作＋API只读核对</x:v>
      </x:c>
      <x:c r="M80" s="17" t="str">
        <x:v>受影响模块回归</x:v>
      </x:c>
      <x:c r="N80" s="17" t="str">
        <x:v>目标设备具备该能力</x:v>
      </x:c>
      <x:c r="O80" s="17" t="str">
        <x:v>src/web/src/views/gam/countManagement/algorithmicManagement/algorithmicIndex.vue</x:v>
      </x:c>
      <x:c r="P80" s="17" t="str">
        <x:v>未执行</x:v>
      </x:c>
      <x:c r="Q80" s="19" t="str"/>
      <x:c r="R80" s="17" t="str"/>
      <x:c r="S80" s="17" t="str"/>
      <x:c r="T80" s="17" t="n">
        <x:v>1</x:v>
      </x:c>
      <x:c r="U80" s="17" t="str">
        <x:v>DUT；MODEL-INVENTORY</x:v>
      </x:c>
      <x:c r="V80" s="17" t="str">
        <x:v>codex-ui-and-evidence</x:v>
      </x:c>
      <x:c r="W80" s="17" t="str"/>
      <x:c r="X80" s="17" t="str"/>
      <x:c r="Y80" s="17" t="str"/>
      <x:c r="Z80" s="17" t="str"/>
      <x:c r="AA80" s="17" t="str"/>
      <x:c r="AB80" s="17" t="str"/>
      <x:c r="AC80" s="17" t="str"/>
    </x:row>
    <x:row r="81" ht="68" customHeight="1">
      <x:c r="A81" s="4" t="str">
        <x:v>SCENE-008</x:v>
      </x:c>
      <x:c r="B81" s="4" t="str">
        <x:v>J03</x:v>
      </x:c>
      <x:c r="C81" s="4" t="str">
        <x:v>场景管理</x:v>
      </x:c>
      <x:c r="D81" s="4" t="str">
        <x:v>P0</x:v>
      </x:c>
      <x:c r="E81" s="4" t="str">
        <x:v>模型缺失状态与修复</x:v>
      </x:c>
      <x:c r="F81" s="4" t="str">
        <x:v>已登录；识别已安装和缺失模型；缺一个依赖模型的本轮场景</x:v>
      </x:c>
      <x:c r="G81" s="4" t="str">
        <x:v>44个模板；目标专用模型</x:v>
      </x:c>
      <x:c r="H81" s="4" t="str">
        <x:v>1. 打开场景卡片
2. 尝试启用
3. 导入正确模型
4. 刷新重试</x:v>
      </x:c>
      <x:c r="I81" s="4" t="str">
        <x:v>缺失原因与模型引用一致；不可运行时不显示成功；修复后能运行且不需改无关参数。</x:v>
      </x:c>
      <x:c r="J81" s="4" t="str">
        <x:v>解绑任务后删除本轮场景；恢复修改过的默认值</x:v>
      </x:c>
      <x:c r="K81" s="4" t="str">
        <x:v>步骤观察、实际结果、证据文件与清理核对</x:v>
      </x:c>
      <x:c r="L81" s="4" t="str">
        <x:v>UI主操作＋API只读核对</x:v>
      </x:c>
      <x:c r="M81" s="4" t="str">
        <x:v>受影响模块回归</x:v>
      </x:c>
      <x:c r="N81" s="4" t="str">
        <x:v>目标设备具备该能力</x:v>
      </x:c>
      <x:c r="O81" s="4" t="str">
        <x:v>src/web/src/views/gam/countManagement/algorithmicManagement/algorithmicIndex.vue</x:v>
      </x:c>
      <x:c r="P81" s="4" t="str">
        <x:v>未执行</x:v>
      </x:c>
      <x:c r="Q81" s="19" t="str"/>
      <x:c r="R81" s="12" t="str"/>
      <x:c r="S81" s="12" t="str"/>
      <x:c r="T81" s="4" t="n">
        <x:v>1</x:v>
      </x:c>
      <x:c r="U81" s="4" t="str">
        <x:v>DUT；MODEL-INVENTORY</x:v>
      </x:c>
      <x:c r="V81" s="4" t="str">
        <x:v>codex-ui-and-evidence</x:v>
      </x:c>
      <x:c r="W81" s="4" t="str"/>
      <x:c r="X81" s="4" t="str"/>
      <x:c r="Y81" s="4" t="str"/>
      <x:c r="Z81" s="4" t="str"/>
      <x:c r="AA81" s="4" t="str"/>
      <x:c r="AB81" s="4" t="str"/>
      <x:c r="AC81" s="4" t="str"/>
    </x:row>
    <x:row r="82" ht="53" customHeight="1">
      <x:c r="A82" s="17" t="str">
        <x:v>SCENE-009</x:v>
      </x:c>
      <x:c r="B82" s="17" t="str">
        <x:v>J03</x:v>
      </x:c>
      <x:c r="C82" s="17" t="str">
        <x:v>场景管理</x:v>
      </x:c>
      <x:c r="D82" s="17" t="str">
        <x:v>P0</x:v>
      </x:c>
      <x:c r="E82" s="17" t="str">
        <x:v>场景默认值与实例参数隔离</x:v>
      </x:c>
      <x:c r="F82" s="17" t="str">
        <x:v>已登录；识别已安装和缺失模型；两路任务共用同场景</x:v>
      </x:c>
      <x:c r="G82" s="17" t="str">
        <x:v>44个模板；目标专用模型</x:v>
      </x:c>
      <x:c r="H82" s="17" t="str">
        <x:v>1. 只改一路任务阈值
2. 检查另一路及场景默认
3. 修改场景模板再回读实例</x:v>
      </x:c>
      <x:c r="I82" s="17" t="str">
        <x:v>作用范围符合界面契约；不跨通道串改；未显式迁移的实例不得静默丢值。</x:v>
      </x:c>
      <x:c r="J82" s="17" t="str">
        <x:v>解绑任务后删除本轮场景；恢复修改过的默认值</x:v>
      </x:c>
      <x:c r="K82" s="17" t="str">
        <x:v>步骤观察、实际结果、证据文件与清理核对</x:v>
      </x:c>
      <x:c r="L82" s="17" t="str">
        <x:v>UI主操作＋API只读核对</x:v>
      </x:c>
      <x:c r="M82" s="17" t="str">
        <x:v>受影响模块回归</x:v>
      </x:c>
      <x:c r="N82" s="17" t="str">
        <x:v>目标设备具备该能力</x:v>
      </x:c>
      <x:c r="O82" s="17" t="str">
        <x:v>src/web/src/views/gam/countManagement/algorithmicManagement/algorithmicIndex.vue</x:v>
      </x:c>
      <x:c r="P82" s="17" t="str">
        <x:v>未执行</x:v>
      </x:c>
      <x:c r="Q82" s="19" t="str"/>
      <x:c r="R82" s="17" t="str"/>
      <x:c r="S82" s="17" t="str"/>
      <x:c r="T82" s="17" t="n">
        <x:v>1</x:v>
      </x:c>
      <x:c r="U82" s="17" t="str">
        <x:v>DUT；MODEL-INVENTORY</x:v>
      </x:c>
      <x:c r="V82" s="17" t="str">
        <x:v>codex-ui-and-evidence</x:v>
      </x:c>
      <x:c r="W82" s="17" t="str"/>
      <x:c r="X82" s="17" t="str"/>
      <x:c r="Y82" s="17" t="str"/>
      <x:c r="Z82" s="17" t="str"/>
      <x:c r="AA82" s="17" t="str"/>
      <x:c r="AB82" s="17" t="str"/>
      <x:c r="AC82" s="17" t="str"/>
    </x:row>
    <x:row r="83" ht="68" customHeight="1">
      <x:c r="A83" s="4" t="str">
        <x:v>FLOW-001</x:v>
      </x:c>
      <x:c r="B83" s="4" t="str">
        <x:v>J03</x:v>
      </x:c>
      <x:c r="C83" s="4" t="str">
        <x:v>算法编排与模型组件</x:v>
      </x:c>
      <x:c r="D83" s="4" t="str">
        <x:v>P0</x:v>
      </x:c>
      <x:c r="E83" s="4" t="str">
        <x:v>最小视频处理链</x:v>
      </x:c>
      <x:c r="F83" s="4" t="str">
        <x:v>从本轮场景副本编辑；保存原始配置</x:v>
      </x:c>
      <x:c r="G83" s="4" t="str">
        <x:v>组件覆盖表；合法模型及固定正负样本</x:v>
      </x:c>
      <x:c r="H83" s="4" t="str">
        <x:v>1. 拖入解码检测筛选事件节点
2. 连接并选择模型
3. 保存重开
4. 绑定固定视频</x:v>
      </x:c>
      <x:c r="I83" s="4" t="str">
        <x:v>节点连线参数持久化；能解码推理并产生对应事件；只保存成功不足以通过。</x:v>
      </x:c>
      <x:c r="J83" s="4" t="str">
        <x:v>恢复场景与模型配置；清除本轮试验节点</x:v>
      </x:c>
      <x:c r="K83" s="4" t="str">
        <x:v>步骤观察、实际结果、证据文件与清理核对</x:v>
      </x:c>
      <x:c r="L83" s="4" t="str">
        <x:v>UI主操作＋API只读核对</x:v>
      </x:c>
      <x:c r="M83" s="4" t="str">
        <x:v>每次变更冒烟</x:v>
      </x:c>
      <x:c r="N83" s="4" t="str">
        <x:v>目标设备具备该能力</x:v>
      </x:c>
      <x:c r="O83" s="4" t="str">
        <x:v>src/web/src/views/gam/countManagement/arrangeDetail/flow；src/web/src/views/gam/countManagement/modelConfig；data/resource/aiboxresource_bm1688/layout</x:v>
      </x:c>
      <x:c r="P83" s="4" t="str">
        <x:v>未执行</x:v>
      </x:c>
      <x:c r="Q83" s="19" t="str"/>
      <x:c r="R83" s="12" t="str"/>
      <x:c r="S83" s="12" t="str"/>
      <x:c r="T83" s="4" t="n">
        <x:v>1</x:v>
      </x:c>
      <x:c r="U83" s="4" t="str">
        <x:v>DUT；MODEL-INVENTORY</x:v>
      </x:c>
      <x:c r="V83" s="4" t="str">
        <x:v>codex-ui-and-evidence</x:v>
      </x:c>
      <x:c r="W83" s="4" t="str"/>
      <x:c r="X83" s="4" t="str"/>
      <x:c r="Y83" s="4" t="str"/>
      <x:c r="Z83" s="4" t="str"/>
      <x:c r="AA83" s="4" t="str"/>
      <x:c r="AB83" s="4" t="str"/>
      <x:c r="AC83" s="4" t="str"/>
    </x:row>
    <x:row r="84" ht="68" customHeight="1">
      <x:c r="A84" s="17" t="str">
        <x:v>FLOW-002</x:v>
      </x:c>
      <x:c r="B84" s="17" t="str">
        <x:v>J03</x:v>
      </x:c>
      <x:c r="C84" s="17" t="str">
        <x:v>算法编排与模型组件</x:v>
      </x:c>
      <x:c r="D84" s="17" t="str">
        <x:v>P1</x:v>
      </x:c>
      <x:c r="E84" s="17" t="str">
        <x:v>节点增删拖拽与画布</x:v>
      </x:c>
      <x:c r="F84" s="17" t="str">
        <x:v>从本轮场景副本编辑；保存原始配置</x:v>
      </x:c>
      <x:c r="G84" s="17" t="str">
        <x:v>组件覆盖表；合法模型及固定正负样本</x:v>
      </x:c>
      <x:c r="H84" s="17" t="str">
        <x:v>1. 添加移动删除节点
2. 缩放平移适应画布
3. 打开属性编辑
4. 刷新</x:v>
      </x:c>
      <x:c r="I84" s="17" t="str">
        <x:v>画布无遮挡失联；删除节点清理连线；参数面板对应当前节点。</x:v>
      </x:c>
      <x:c r="J84" s="17" t="str">
        <x:v>恢复场景与模型配置；清除本轮试验节点</x:v>
      </x:c>
      <x:c r="K84" s="17" t="str">
        <x:v>步骤观察、实际结果、证据文件与清理核对</x:v>
      </x:c>
      <x:c r="L84" s="17" t="str">
        <x:v>UI主操作＋API只读核对</x:v>
      </x:c>
      <x:c r="M84" s="17" t="str">
        <x:v>受影响模块回归</x:v>
      </x:c>
      <x:c r="N84" s="17" t="str">
        <x:v>目标设备具备该能力</x:v>
      </x:c>
      <x:c r="O84" s="17" t="str">
        <x:v>src/web/src/views/gam/countManagement/arrangeDetail/flow；src/web/src/views/gam/countManagement/modelConfig；data/resource/aiboxresource_bm1688/layout</x:v>
      </x:c>
      <x:c r="P84" s="17" t="str">
        <x:v>未执行</x:v>
      </x:c>
      <x:c r="Q84" s="19" t="str"/>
      <x:c r="R84" s="17" t="str"/>
      <x:c r="S84" s="17" t="str"/>
      <x:c r="T84" s="17" t="n">
        <x:v>1</x:v>
      </x:c>
      <x:c r="U84" s="17" t="str">
        <x:v>DUT；MODEL-INVENTORY</x:v>
      </x:c>
      <x:c r="V84" s="17" t="str">
        <x:v>codex-ui-and-evidence</x:v>
      </x:c>
      <x:c r="W84" s="17" t="str"/>
      <x:c r="X84" s="17" t="str"/>
      <x:c r="Y84" s="17" t="str"/>
      <x:c r="Z84" s="17" t="str"/>
      <x:c r="AA84" s="17" t="str"/>
      <x:c r="AB84" s="17" t="str"/>
      <x:c r="AC84" s="17" t="str"/>
    </x:row>
    <x:row r="85" ht="53" customHeight="1">
      <x:c r="A85" s="4" t="str">
        <x:v>FLOW-003</x:v>
      </x:c>
      <x:c r="B85" s="4" t="str">
        <x:v>J03</x:v>
      </x:c>
      <x:c r="C85" s="4" t="str">
        <x:v>算法编排与模型组件</x:v>
      </x:c>
      <x:c r="D85" s="4" t="str">
        <x:v>P0</x:v>
      </x:c>
      <x:c r="E85" s="4" t="str">
        <x:v>无效连接循环与断链</x:v>
      </x:c>
      <x:c r="F85" s="4" t="str">
        <x:v>从本轮场景副本编辑；保存原始配置</x:v>
      </x:c>
      <x:c r="G85" s="4" t="str">
        <x:v>组件覆盖表；合法模型及固定正负样本</x:v>
      </x:c>
      <x:c r="H85" s="4" t="str">
        <x:v>1. 制造缺输入、类型不匹配、悬空边和环
2. 保存
3. 修复为合法链</x:v>
      </x:c>
      <x:c r="I85" s="4" t="str">
        <x:v>被可定位地拒绝；不运行半成品；已有活动场景不被失败保存损坏。</x:v>
      </x:c>
      <x:c r="J85" s="4" t="str">
        <x:v>恢复场景与模型配置；清除本轮试验节点</x:v>
      </x:c>
      <x:c r="K85" s="4" t="str">
        <x:v>步骤观察、实际结果、证据文件与清理核对</x:v>
      </x:c>
      <x:c r="L85" s="4" t="str">
        <x:v>UI主操作＋API只读核对</x:v>
      </x:c>
      <x:c r="M85" s="4" t="str">
        <x:v>受影响模块回归</x:v>
      </x:c>
      <x:c r="N85" s="4" t="str">
        <x:v>目标设备具备该能力</x:v>
      </x:c>
      <x:c r="O85" s="4" t="str">
        <x:v>src/web/src/views/gam/countManagement/arrangeDetail/flow；src/web/src/views/gam/countManagement/modelConfig；data/resource/aiboxresource_bm1688/layout</x:v>
      </x:c>
      <x:c r="P85" s="4" t="str">
        <x:v>未执行</x:v>
      </x:c>
      <x:c r="Q85" s="19" t="str"/>
      <x:c r="R85" s="12" t="str"/>
      <x:c r="S85" s="12" t="str"/>
      <x:c r="T85" s="4" t="n">
        <x:v>1</x:v>
      </x:c>
      <x:c r="U85" s="4" t="str">
        <x:v>DUT；MODEL-INVENTORY</x:v>
      </x:c>
      <x:c r="V85" s="4" t="str">
        <x:v>codex-ui-and-evidence</x:v>
      </x:c>
      <x:c r="W85" s="4" t="str"/>
      <x:c r="X85" s="4" t="str"/>
      <x:c r="Y85" s="4" t="str"/>
      <x:c r="Z85" s="4" t="str"/>
      <x:c r="AA85" s="4" t="str"/>
      <x:c r="AB85" s="4" t="str"/>
      <x:c r="AC85" s="4" t="str"/>
    </x:row>
    <x:row r="86" ht="68" customHeight="1">
      <x:c r="A86" s="17" t="str">
        <x:v>FLOW-004</x:v>
      </x:c>
      <x:c r="B86" s="17" t="str">
        <x:v>J03</x:v>
      </x:c>
      <x:c r="C86" s="17" t="str">
        <x:v>算法编排与模型组件</x:v>
      </x:c>
      <x:c r="D86" s="17" t="str">
        <x:v>P0</x:v>
      </x:c>
      <x:c r="E86" s="17" t="str">
        <x:v>节点参数与未知字段</x:v>
      </x:c>
      <x:c r="F86" s="17" t="str">
        <x:v>从本轮场景副本编辑；保存原始配置；含历史隐藏参数的导入配置</x:v>
      </x:c>
      <x:c r="G86" s="17" t="str">
        <x:v>组件覆盖表；合法模型及固定正负样本</x:v>
      </x:c>
      <x:c r="H86" s="17" t="str">
        <x:v>1. 修改一个可见参数
2. 保存导出
3. 对比其他键
4. 重开</x:v>
      </x:c>
      <x:c r="I86" s="17" t="str">
        <x:v>隐藏、非当前规则及未知扩展字段按兼容契约保留；未知枚举不能被默认值覆盖。</x:v>
      </x:c>
      <x:c r="J86" s="17" t="str">
        <x:v>恢复场景与模型配置；清除本轮试验节点</x:v>
      </x:c>
      <x:c r="K86" s="17" t="str">
        <x:v>步骤观察、实际结果、证据文件与清理核对</x:v>
      </x:c>
      <x:c r="L86" s="17" t="str">
        <x:v>UI主操作＋API只读核对</x:v>
      </x:c>
      <x:c r="M86" s="17" t="str">
        <x:v>受影响模块回归</x:v>
      </x:c>
      <x:c r="N86" s="17" t="str">
        <x:v>目标设备具备该能力</x:v>
      </x:c>
      <x:c r="O86" s="17" t="str">
        <x:v>src/web/src/views/gam/countManagement/arrangeDetail/flow；src/web/src/views/gam/countManagement/modelConfig；data/resource/aiboxresource_bm1688/layout</x:v>
      </x:c>
      <x:c r="P86" s="17" t="str">
        <x:v>未执行</x:v>
      </x:c>
      <x:c r="Q86" s="19" t="str"/>
      <x:c r="R86" s="17" t="str"/>
      <x:c r="S86" s="17" t="str"/>
      <x:c r="T86" s="17" t="n">
        <x:v>1</x:v>
      </x:c>
      <x:c r="U86" s="17" t="str">
        <x:v>DUT；MODEL-INVENTORY</x:v>
      </x:c>
      <x:c r="V86" s="17" t="str">
        <x:v>codex-ui-and-evidence</x:v>
      </x:c>
      <x:c r="W86" s="17" t="str"/>
      <x:c r="X86" s="17" t="str"/>
      <x:c r="Y86" s="17" t="str"/>
      <x:c r="Z86" s="17" t="str"/>
      <x:c r="AA86" s="17" t="str"/>
      <x:c r="AB86" s="17" t="str"/>
      <x:c r="AC86" s="17" t="str"/>
    </x:row>
    <x:row r="87" ht="53" customHeight="1">
      <x:c r="A87" s="4" t="str">
        <x:v>FLOW-005</x:v>
      </x:c>
      <x:c r="B87" s="4" t="str">
        <x:v>J03</x:v>
      </x:c>
      <x:c r="C87" s="4" t="str">
        <x:v>算法编排与模型组件</x:v>
      </x:c>
      <x:c r="D87" s="4" t="str">
        <x:v>P1</x:v>
      </x:c>
      <x:c r="E87" s="4" t="str">
        <x:v>分支与合流约束</x:v>
      </x:c>
      <x:c r="F87" s="4" t="str">
        <x:v>从本轮场景副本编辑；保存原始配置；图片单图场景</x:v>
      </x:c>
      <x:c r="G87" s="4" t="str">
        <x:v>组件覆盖表；合法模型及固定正负样本</x:v>
      </x:c>
      <x:c r="H87" s="4" t="str">
        <x:v>1. 构建条件分支的命中/未命中/无法判断
2. 尝试合流
3. 保存执行</x:v>
      </x:c>
      <x:c r="I87" s="4" t="str">
        <x:v>合法分叉独立执行；合流按当前不支持边界拒绝；无法判断不得取反成命中。</x:v>
      </x:c>
      <x:c r="J87" s="4" t="str">
        <x:v>恢复场景与模型配置；清除本轮试验节点</x:v>
      </x:c>
      <x:c r="K87" s="4" t="str">
        <x:v>步骤观察、实际结果、证据文件与清理核对</x:v>
      </x:c>
      <x:c r="L87" s="4" t="str">
        <x:v>UI主操作＋API只读核对</x:v>
      </x:c>
      <x:c r="M87" s="4" t="str">
        <x:v>受影响模块回归</x:v>
      </x:c>
      <x:c r="N87" s="4" t="str">
        <x:v>目标设备具备该能力</x:v>
      </x:c>
      <x:c r="O87" s="4" t="str">
        <x:v>src/web/src/views/gam/countManagement/arrangeDetail/flow；src/web/src/views/gam/countManagement/modelConfig；data/resource/aiboxresource_bm1688/layout</x:v>
      </x:c>
      <x:c r="P87" s="4" t="str">
        <x:v>未执行</x:v>
      </x:c>
      <x:c r="Q87" s="19" t="str"/>
      <x:c r="R87" s="12" t="str"/>
      <x:c r="S87" s="12" t="str"/>
      <x:c r="T87" s="4" t="n">
        <x:v>1</x:v>
      </x:c>
      <x:c r="U87" s="4" t="str">
        <x:v>DUT；MODEL-INVENTORY</x:v>
      </x:c>
      <x:c r="V87" s="4" t="str">
        <x:v>codex-ui-and-evidence</x:v>
      </x:c>
      <x:c r="W87" s="4" t="str"/>
      <x:c r="X87" s="4" t="str"/>
      <x:c r="Y87" s="4" t="str"/>
      <x:c r="Z87" s="4" t="str"/>
      <x:c r="AA87" s="4" t="str"/>
      <x:c r="AB87" s="4" t="str"/>
      <x:c r="AC87" s="4" t="str"/>
    </x:row>
    <x:row r="88" ht="53" customHeight="1">
      <x:c r="A88" s="17" t="str">
        <x:v>FLOW-006</x:v>
      </x:c>
      <x:c r="B88" s="17" t="str">
        <x:v>J03</x:v>
      </x:c>
      <x:c r="C88" s="17" t="str">
        <x:v>算法编排与模型组件</x:v>
      </x:c>
      <x:c r="D88" s="17" t="str">
        <x:v>P0</x:v>
      </x:c>
      <x:c r="E88" s="17" t="str">
        <x:v>双图编排约束</x:v>
      </x:c>
      <x:c r="F88" s="17" t="str">
        <x:v>从本轮场景副本编辑；保存原始配置；双图场景副本</x:v>
      </x:c>
      <x:c r="G88" s="17" t="str">
        <x:v>组件覆盖表；合法模型及固定正负样本</x:v>
      </x:c>
      <x:c r="H88" s="17" t="str">
        <x:v>1. 构建单检测特征链及一个双图比对一个输出
2. 再尝试多比对节点、分支及合流</x:v>
      </x:c>
      <x:c r="I88" s="17" t="str">
        <x:v>合法链可运行；不支持结构明确拒绝；不输出伪成功分数。</x:v>
      </x:c>
      <x:c r="J88" s="17" t="str">
        <x:v>恢复场景与模型配置；清除本轮试验节点</x:v>
      </x:c>
      <x:c r="K88" s="17" t="str">
        <x:v>步骤观察、实际结果、证据文件与清理核对</x:v>
      </x:c>
      <x:c r="L88" s="17" t="str">
        <x:v>UI主操作＋API只读核对</x:v>
      </x:c>
      <x:c r="M88" s="17" t="str">
        <x:v>受影响模块回归</x:v>
      </x:c>
      <x:c r="N88" s="17" t="str">
        <x:v>目标设备具备该能力</x:v>
      </x:c>
      <x:c r="O88" s="17" t="str">
        <x:v>src/web/src/views/gam/countManagement/arrangeDetail/flow；src/web/src/views/gam/countManagement/modelConfig；data/resource/aiboxresource_bm1688/layout</x:v>
      </x:c>
      <x:c r="P88" s="17" t="str">
        <x:v>未执行</x:v>
      </x:c>
      <x:c r="Q88" s="19" t="str"/>
      <x:c r="R88" s="17" t="str"/>
      <x:c r="S88" s="17" t="str"/>
      <x:c r="T88" s="17" t="n">
        <x:v>1</x:v>
      </x:c>
      <x:c r="U88" s="17" t="str">
        <x:v>DUT；MODEL-INVENTORY</x:v>
      </x:c>
      <x:c r="V88" s="17" t="str">
        <x:v>codex-ui-and-evidence</x:v>
      </x:c>
      <x:c r="W88" s="17" t="str"/>
      <x:c r="X88" s="17" t="str"/>
      <x:c r="Y88" s="17" t="str"/>
      <x:c r="Z88" s="17" t="str"/>
      <x:c r="AA88" s="17" t="str"/>
      <x:c r="AB88" s="17" t="str"/>
      <x:c r="AC88" s="17" t="str"/>
    </x:row>
    <x:row r="89" ht="68" customHeight="1">
      <x:c r="A89" s="4" t="str">
        <x:v>FLOW-007</x:v>
      </x:c>
      <x:c r="B89" s="4" t="str">
        <x:v>J03</x:v>
      </x:c>
      <x:c r="C89" s="4" t="str">
        <x:v>算法编排与模型组件</x:v>
      </x:c>
      <x:c r="D89" s="4" t="str">
        <x:v>P1</x:v>
      </x:c>
      <x:c r="E89" s="4" t="str">
        <x:v>每个动作逐项实例化</x:v>
      </x:c>
      <x:c r="F89" s="4" t="str">
        <x:v>从本轮场景副本编辑；保存原始配置；组件覆盖表actions逐行执行</x:v>
      </x:c>
      <x:c r="G89" s="4" t="str">
        <x:v>组件覆盖表；合法模型及固定正负样本</x:v>
      </x:c>
      <x:c r="H89" s="4" t="str">
        <x:v>1. 为该动作准备合法上游与下游
2. 设置全部暴露字段
3. 保存运行
4. 输入缺失或无效上游</x:v>
      </x:c>
      <x:c r="I89" s="4" t="str">
        <x:v>每个动作有独立结果与节点输出证据；异常可定位；不能用一个示例代表所有动作。</x:v>
      </x:c>
      <x:c r="J89" s="4" t="str">
        <x:v>恢复场景与模型配置；清除本轮试验节点</x:v>
      </x:c>
      <x:c r="K89" s="4" t="str">
        <x:v>步骤观察、实际结果、证据文件与清理核对</x:v>
      </x:c>
      <x:c r="L89" s="4" t="str">
        <x:v>UI主操作＋API只读核对</x:v>
      </x:c>
      <x:c r="M89" s="4" t="str">
        <x:v>受影响模块回归</x:v>
      </x:c>
      <x:c r="N89" s="4" t="str">
        <x:v>目标设备具备该能力</x:v>
      </x:c>
      <x:c r="O89" s="4" t="str">
        <x:v>src/web/src/views/gam/countManagement/arrangeDetail/flow；src/web/src/views/gam/countManagement/modelConfig；data/resource/aiboxresource_bm1688/layout</x:v>
      </x:c>
      <x:c r="P89" s="4" t="str">
        <x:v>未执行</x:v>
      </x:c>
      <x:c r="Q89" s="19" t="str"/>
      <x:c r="R89" s="12" t="str"/>
      <x:c r="S89" s="12" t="str"/>
      <x:c r="T89" s="4" t="n">
        <x:v>1</x:v>
      </x:c>
      <x:c r="U89" s="4" t="str">
        <x:v>DUT；MODEL-INVENTORY</x:v>
      </x:c>
      <x:c r="V89" s="4" t="str">
        <x:v>codex-ui-and-evidence</x:v>
      </x:c>
      <x:c r="W89" s="4" t="str"/>
      <x:c r="X89" s="4" t="str"/>
      <x:c r="Y89" s="4" t="str"/>
      <x:c r="Z89" s="4" t="str"/>
      <x:c r="AA89" s="4" t="str"/>
      <x:c r="AB89" s="4" t="str"/>
      <x:c r="AC89" s="4" t="str"/>
    </x:row>
    <x:row r="90" ht="68" customHeight="1">
      <x:c r="A90" s="17" t="str">
        <x:v>FLOW-008</x:v>
      </x:c>
      <x:c r="B90" s="17" t="str">
        <x:v>J03</x:v>
      </x:c>
      <x:c r="C90" s="17" t="str">
        <x:v>算法编排与模型组件</x:v>
      </x:c>
      <x:c r="D90" s="17" t="str">
        <x:v>P1</x:v>
      </x:c>
      <x:c r="E90" s="17" t="str">
        <x:v>每个模型组件逐项实例化</x:v>
      </x:c>
      <x:c r="F90" s="17" t="str">
        <x:v>从本轮场景副本编辑；保存原始配置；组件覆盖表modelComponents逐行执行</x:v>
      </x:c>
      <x:c r="G90" s="17" t="str">
        <x:v>组件覆盖表；合法模型及固定正负样本</x:v>
      </x:c>
      <x:c r="H90" s="17" t="str">
        <x:v>1. 在模型配置添加该组件
2. 设置输入维度预处理后处理
3. 保存重开
4. 用固定样本推理</x:v>
      </x:c>
      <x:c r="I90" s="17" t="str">
        <x:v>配置回读且张量维度、类别映射、输出语义正确；不存在重复ID或悬挂边。</x:v>
      </x:c>
      <x:c r="J90" s="17" t="str">
        <x:v>恢复场景与模型配置；清除本轮试验节点</x:v>
      </x:c>
      <x:c r="K90" s="17" t="str">
        <x:v>步骤观察、实际结果、证据文件与清理核对</x:v>
      </x:c>
      <x:c r="L90" s="17" t="str">
        <x:v>UI主操作＋API只读核对</x:v>
      </x:c>
      <x:c r="M90" s="17" t="str">
        <x:v>受影响模块回归</x:v>
      </x:c>
      <x:c r="N90" s="17" t="str">
        <x:v>目标设备具备该能力</x:v>
      </x:c>
      <x:c r="O90" s="17" t="str">
        <x:v>src/web/src/views/gam/countManagement/arrangeDetail/flow；src/web/src/views/gam/countManagement/modelConfig；data/resource/aiboxresource_bm1688/layout</x:v>
      </x:c>
      <x:c r="P90" s="17" t="str">
        <x:v>未执行</x:v>
      </x:c>
      <x:c r="Q90" s="19" t="str"/>
      <x:c r="R90" s="17" t="str"/>
      <x:c r="S90" s="17" t="str"/>
      <x:c r="T90" s="17" t="n">
        <x:v>1</x:v>
      </x:c>
      <x:c r="U90" s="17" t="str">
        <x:v>DUT；MODEL-INVENTORY</x:v>
      </x:c>
      <x:c r="V90" s="17" t="str">
        <x:v>codex-ui-and-evidence</x:v>
      </x:c>
      <x:c r="W90" s="17" t="str"/>
      <x:c r="X90" s="17" t="str"/>
      <x:c r="Y90" s="17" t="str"/>
      <x:c r="Z90" s="17" t="str"/>
      <x:c r="AA90" s="17" t="str"/>
      <x:c r="AB90" s="17" t="str"/>
      <x:c r="AC90" s="17" t="str"/>
    </x:row>
    <x:row r="91" ht="53" customHeight="1">
      <x:c r="A91" s="4" t="str">
        <x:v>FLOW-009</x:v>
      </x:c>
      <x:c r="B91" s="4" t="str">
        <x:v>J03</x:v>
      </x:c>
      <x:c r="C91" s="4" t="str">
        <x:v>算法编排与模型组件</x:v>
      </x:c>
      <x:c r="D91" s="4" t="str">
        <x:v>P0</x:v>
      </x:c>
      <x:c r="E91" s="4" t="str">
        <x:v>模型参数边界和缺配套文件</x:v>
      </x:c>
      <x:c r="F91" s="4" t="str">
        <x:v>从本轮场景副本编辑；保存原始配置；模型副本</x:v>
      </x:c>
      <x:c r="G91" s="4" t="str">
        <x:v>组件覆盖表；合法模型及固定正负样本</x:v>
      </x:c>
      <x:c r="H91" s="4" t="str">
        <x:v>1. 修改resize归一化颜色通道或标签映射
2. 漏选所需组件/文件
3. 推理并恢复</x:v>
      </x:c>
      <x:c r="I91" s="4" t="str">
        <x:v>非法组合校验或加载明确失败；合法值结果与基线一致；不能只检查UI保存。</x:v>
      </x:c>
      <x:c r="J91" s="4" t="str">
        <x:v>恢复场景与模型配置；清除本轮试验节点</x:v>
      </x:c>
      <x:c r="K91" s="4" t="str">
        <x:v>步骤观察、实际结果、证据文件与清理核对</x:v>
      </x:c>
      <x:c r="L91" s="4" t="str">
        <x:v>UI主操作＋API只读核对</x:v>
      </x:c>
      <x:c r="M91" s="4" t="str">
        <x:v>受影响模块回归</x:v>
      </x:c>
      <x:c r="N91" s="4" t="str">
        <x:v>目标设备具备该能力</x:v>
      </x:c>
      <x:c r="O91" s="4" t="str">
        <x:v>src/web/src/views/gam/countManagement/arrangeDetail/flow；src/web/src/views/gam/countManagement/modelConfig；data/resource/aiboxresource_bm1688/layout</x:v>
      </x:c>
      <x:c r="P91" s="4" t="str">
        <x:v>未执行</x:v>
      </x:c>
      <x:c r="Q91" s="19" t="str"/>
      <x:c r="R91" s="12" t="str"/>
      <x:c r="S91" s="12" t="str"/>
      <x:c r="T91" s="4" t="n">
        <x:v>1</x:v>
      </x:c>
      <x:c r="U91" s="4" t="str">
        <x:v>DUT；MODEL-INVENTORY</x:v>
      </x:c>
      <x:c r="V91" s="4" t="str">
        <x:v>codex-ui-and-evidence</x:v>
      </x:c>
      <x:c r="W91" s="4" t="str"/>
      <x:c r="X91" s="4" t="str"/>
      <x:c r="Y91" s="4" t="str"/>
      <x:c r="Z91" s="4" t="str"/>
      <x:c r="AA91" s="4" t="str"/>
      <x:c r="AB91" s="4" t="str"/>
      <x:c r="AC91" s="4" t="str"/>
    </x:row>
    <x:row r="92" ht="68" customHeight="1">
      <x:c r="A92" s="17" t="str">
        <x:v>FLOW-010</x:v>
      </x:c>
      <x:c r="B92" s="17" t="str">
        <x:v>J03</x:v>
      </x:c>
      <x:c r="C92" s="17" t="str">
        <x:v>算法编排与模型组件</x:v>
      </x:c>
      <x:c r="D92" s="17" t="str">
        <x:v>P1</x:v>
      </x:c>
      <x:c r="E92" s="17" t="str">
        <x:v>动态表单依赖字段</x:v>
      </x:c>
      <x:c r="F92" s="17" t="str">
        <x:v>从本轮场景副本编辑；保存原始配置；参数覆盖表逐行执行</x:v>
      </x:c>
      <x:c r="G92" s="17" t="str">
        <x:v>组件覆盖表；合法模型及固定正负样本</x:v>
      </x:c>
      <x:c r="H92" s="17" t="str">
        <x:v>1. 切换枚举触发依赖字段
2. 填合法值保存
3. 隐藏再显示
4. 测空值边界</x:v>
      </x:c>
      <x:c r="I92" s="17" t="str">
        <x:v>依赖展示正确；隐藏值按契约保留；单位精度默认值明确；UI与后端校验一致。</x:v>
      </x:c>
      <x:c r="J92" s="17" t="str">
        <x:v>恢复场景与模型配置；清除本轮试验节点</x:v>
      </x:c>
      <x:c r="K92" s="17" t="str">
        <x:v>步骤观察、实际结果、证据文件与清理核对</x:v>
      </x:c>
      <x:c r="L92" s="17" t="str">
        <x:v>UI主操作＋API只读核对</x:v>
      </x:c>
      <x:c r="M92" s="17" t="str">
        <x:v>受影响模块回归</x:v>
      </x:c>
      <x:c r="N92" s="17" t="str">
        <x:v>目标设备具备该能力</x:v>
      </x:c>
      <x:c r="O92" s="17" t="str">
        <x:v>src/web/src/views/gam/countManagement/arrangeDetail/flow；src/web/src/views/gam/countManagement/modelConfig；data/resource/aiboxresource_bm1688/layout</x:v>
      </x:c>
      <x:c r="P92" s="17" t="str">
        <x:v>未执行</x:v>
      </x:c>
      <x:c r="Q92" s="19" t="str"/>
      <x:c r="R92" s="17" t="str"/>
      <x:c r="S92" s="17" t="str"/>
      <x:c r="T92" s="17" t="n">
        <x:v>1</x:v>
      </x:c>
      <x:c r="U92" s="17" t="str">
        <x:v>DUT；MODEL-INVENTORY</x:v>
      </x:c>
      <x:c r="V92" s="17" t="str">
        <x:v>codex-ui-and-evidence</x:v>
      </x:c>
      <x:c r="W92" s="17" t="str"/>
      <x:c r="X92" s="17" t="str"/>
      <x:c r="Y92" s="17" t="str"/>
      <x:c r="Z92" s="17" t="str"/>
      <x:c r="AA92" s="17" t="str"/>
      <x:c r="AB92" s="17" t="str"/>
      <x:c r="AC92" s="17" t="str"/>
    </x:row>
    <x:row r="93" ht="53" customHeight="1">
      <x:c r="A93" s="4" t="str">
        <x:v>FLOW-011</x:v>
      </x:c>
      <x:c r="B93" s="4" t="str">
        <x:v>J03</x:v>
      </x:c>
      <x:c r="C93" s="4" t="str">
        <x:v>算法编排与模型组件</x:v>
      </x:c>
      <x:c r="D93" s="4" t="str">
        <x:v>P1</x:v>
      </x:c>
      <x:c r="E93" s="4" t="str">
        <x:v>视频叠加能力边界</x:v>
      </x:c>
      <x:c r="F93" s="4" t="str">
        <x:v>从本轮场景副本编辑；保存原始配置</x:v>
      </x:c>
      <x:c r="G93" s="4" t="str">
        <x:v>组件覆盖表；合法模型及固定正负样本</x:v>
      </x:c>
      <x:c r="H93" s="4" t="str">
        <x:v>1. 检查动作列表
2. 配置可视化元数据
3. 在实时画面切换叠加</x:v>
      </x:c>
      <x:c r="I93" s="4" t="str">
        <x:v>使用Pipeline输出绘制；不要求不存在的独立OSD节点；框标签与元数据一致。</x:v>
      </x:c>
      <x:c r="J93" s="4" t="str">
        <x:v>恢复场景与模型配置；清除本轮试验节点</x:v>
      </x:c>
      <x:c r="K93" s="4" t="str">
        <x:v>步骤观察、实际结果、证据文件与清理核对</x:v>
      </x:c>
      <x:c r="L93" s="4" t="str">
        <x:v>UI主操作＋API只读核对</x:v>
      </x:c>
      <x:c r="M93" s="4" t="str">
        <x:v>受影响模块回归</x:v>
      </x:c>
      <x:c r="N93" s="4" t="str">
        <x:v>目标设备具备该能力</x:v>
      </x:c>
      <x:c r="O93" s="4" t="str">
        <x:v>src/web/src/views/gam/countManagement/arrangeDetail/flow；src/web/src/views/gam/countManagement/modelConfig；data/resource/aiboxresource_bm1688/layout</x:v>
      </x:c>
      <x:c r="P93" s="4" t="str">
        <x:v>未执行</x:v>
      </x:c>
      <x:c r="Q93" s="19" t="str"/>
      <x:c r="R93" s="12" t="str"/>
      <x:c r="S93" s="12" t="str"/>
      <x:c r="T93" s="4" t="n">
        <x:v>1</x:v>
      </x:c>
      <x:c r="U93" s="4" t="str">
        <x:v>DUT；MODEL-INVENTORY</x:v>
      </x:c>
      <x:c r="V93" s="4" t="str">
        <x:v>codex-ui-and-evidence</x:v>
      </x:c>
      <x:c r="W93" s="4" t="str"/>
      <x:c r="X93" s="4" t="str"/>
      <x:c r="Y93" s="4" t="str"/>
      <x:c r="Z93" s="4" t="str"/>
      <x:c r="AA93" s="4" t="str"/>
      <x:c r="AB93" s="4" t="str"/>
      <x:c r="AC93" s="4" t="str"/>
    </x:row>
    <x:row r="94" ht="83" customHeight="1">
      <x:c r="A94" s="17" t="str">
        <x:v>FLOW-012</x:v>
      </x:c>
      <x:c r="B94" s="17" t="str">
        <x:v>J03</x:v>
      </x:c>
      <x:c r="C94" s="17" t="str">
        <x:v>算法编排与模型组件</x:v>
      </x:c>
      <x:c r="D94" s="17" t="str">
        <x:v>P1</x:v>
      </x:c>
      <x:c r="E94" s="17" t="str">
        <x:v>导入旧编排回读兼容</x:v>
      </x:c>
      <x:c r="F94" s="17" t="str">
        <x:v>从本轮场景副本编辑；保存原始配置；上一发布版合法场景包</x:v>
      </x:c>
      <x:c r="G94" s="17" t="str">
        <x:v>组件覆盖表；合法模型及固定正负样本</x:v>
      </x:c>
      <x:c r="H94" s="17" t="str">
        <x:v>1. 导入
2. 打开每个参数面板
3. 不修改保存
4. 导出对比
5. 执行原样本</x:v>
      </x:c>
      <x:c r="I94" s="17" t="str">
        <x:v>无静默迁移丢字段；未知字段受保护；已支持的旧场景结果可复现。</x:v>
      </x:c>
      <x:c r="J94" s="17" t="str">
        <x:v>恢复场景与模型配置；清除本轮试验节点</x:v>
      </x:c>
      <x:c r="K94" s="17" t="str">
        <x:v>步骤观察、实际结果、证据文件与清理核对</x:v>
      </x:c>
      <x:c r="L94" s="17" t="str">
        <x:v>UI主操作＋API只读核对</x:v>
      </x:c>
      <x:c r="M94" s="17" t="str">
        <x:v>受影响模块回归</x:v>
      </x:c>
      <x:c r="N94" s="17" t="str">
        <x:v>目标设备具备该能力</x:v>
      </x:c>
      <x:c r="O94" s="17" t="str">
        <x:v>src/web/src/views/gam/countManagement/arrangeDetail/flow；src/web/src/views/gam/countManagement/modelConfig；data/resource/aiboxresource_bm1688/layout</x:v>
      </x:c>
      <x:c r="P94" s="17" t="str">
        <x:v>未执行</x:v>
      </x:c>
      <x:c r="Q94" s="19" t="str"/>
      <x:c r="R94" s="17" t="str"/>
      <x:c r="S94" s="17" t="str"/>
      <x:c r="T94" s="17" t="n">
        <x:v>1</x:v>
      </x:c>
      <x:c r="U94" s="17" t="str">
        <x:v>DUT；MODEL-INVENTORY</x:v>
      </x:c>
      <x:c r="V94" s="17" t="str">
        <x:v>codex-ui-and-evidence</x:v>
      </x:c>
      <x:c r="W94" s="17" t="str"/>
      <x:c r="X94" s="17" t="str"/>
      <x:c r="Y94" s="17" t="str"/>
      <x:c r="Z94" s="17" t="str"/>
      <x:c r="AA94" s="17" t="str"/>
      <x:c r="AB94" s="17" t="str"/>
      <x:c r="AC94" s="17" t="str"/>
    </x:row>
    <x:row r="95" ht="83" customHeight="1">
      <x:c r="A95" s="4" t="str">
        <x:v>TASK-001</x:v>
      </x:c>
      <x:c r="B95" s="4" t="str">
        <x:v>J04</x:v>
      </x:c>
      <x:c r="C95" s="4" t="str">
        <x:v>任务配置与运行</x:v>
      </x:c>
      <x:c r="D95" s="4" t="str">
        <x:v>P0</x:v>
      </x:c>
      <x:c r="E95" s="4" t="str">
        <x:v>分配场景并启停</x:v>
      </x:c>
      <x:c r="F95" s="4" t="str">
        <x:v>两路以上本轮通道；固定可复现正负样本</x:v>
      </x:c>
      <x:c r="G95" s="4" t="str">
        <x:v>FACE-VIDEO；多厂商实时流；已安装场景</x:v>
      </x:c>
      <x:c r="H95" s="4" t="str">
        <x:v>1. 选择通道分配场景
2. 保存参数和计划
3. 开启
4. 看运行计数及事件
5. 关闭</x:v>
      </x:c>
      <x:c r="I95" s="4" t="str">
        <x:v>任务存在且实际解码推理计数前进；关闭后新处理停止；不残留实例。</x:v>
      </x:c>
      <x:c r="J95" s="4" t="str">
        <x:v>停止本轮任务；回滚参数和绑定；核对运行实例释放</x:v>
      </x:c>
      <x:c r="K95" s="4" t="str">
        <x:v>步骤观察、实际结果、证据文件与清理核对</x:v>
      </x:c>
      <x:c r="L95" s="4" t="str">
        <x:v>UI主操作＋API只读核对</x:v>
      </x:c>
      <x:c r="M95" s="4" t="str">
        <x:v>每次变更冒烟</x:v>
      </x:c>
      <x:c r="N95" s="4" t="str">
        <x:v>目标设备具备该能力</x:v>
      </x:c>
      <x:c r="O95" s="4" t="str">
        <x:v>src/web/src/views/gam/taskManager/editTask；src/web/src/api/gam.js；test/test_camera_task_param_sync.cc</x:v>
      </x:c>
      <x:c r="P95" s="4" t="str">
        <x:v>未执行</x:v>
      </x:c>
      <x:c r="Q95" s="19" t="str"/>
      <x:c r="R95" s="12" t="str"/>
      <x:c r="S95" s="12" t="str"/>
      <x:c r="T95" s="4" t="n">
        <x:v>1</x:v>
      </x:c>
      <x:c r="U95" s="4" t="str">
        <x:v>DUT；FACE-VIDEO；MODEL-INVENTORY</x:v>
      </x:c>
      <x:c r="V95" s="4" t="str">
        <x:v>codex-ui-and-evidence</x:v>
      </x:c>
      <x:c r="W95" s="4" t="str"/>
      <x:c r="X95" s="4" t="str"/>
      <x:c r="Y95" s="4" t="str"/>
      <x:c r="Z95" s="4" t="str"/>
      <x:c r="AA95" s="4" t="str"/>
      <x:c r="AB95" s="4" t="str"/>
      <x:c r="AC95" s="4" t="str"/>
    </x:row>
    <x:row r="96" ht="83" customHeight="1">
      <x:c r="A96" s="17" t="str">
        <x:v>TASK-002</x:v>
      </x:c>
      <x:c r="B96" s="17" t="str">
        <x:v>J04</x:v>
      </x:c>
      <x:c r="C96" s="17" t="str">
        <x:v>任务配置与运行</x:v>
      </x:c>
      <x:c r="D96" s="17" t="str">
        <x:v>P0</x:v>
      </x:c>
      <x:c r="E96" s="17" t="str">
        <x:v>检测阈值真实生效</x:v>
      </x:c>
      <x:c r="F96" s="17" t="str">
        <x:v>两路以上本轮通道；固定可复现正负样本；同一样本含接近阈值目标</x:v>
      </x:c>
      <x:c r="G96" s="17" t="str">
        <x:v>FACE-VIDEO；多厂商实时流；已安装场景</x:v>
      </x:c>
      <x:c r="H96" s="17" t="str">
        <x:v>1. 记录原值和结果
2. 修改一个阈值保存
3. 重播同输入
4. 刷新参数
5. 恢复原值再播</x:v>
      </x:c>
      <x:c r="I96" s="17" t="str">
        <x:v>页面、回读配置与运行行为一致；结果符合该阈值语义；不能只以保存提示通过。</x:v>
      </x:c>
      <x:c r="J96" s="17" t="str">
        <x:v>停止本轮任务；回滚参数和绑定；核对运行实例释放</x:v>
      </x:c>
      <x:c r="K96" s="17" t="str">
        <x:v>步骤观察、实际结果、证据文件与清理核对</x:v>
      </x:c>
      <x:c r="L96" s="17" t="str">
        <x:v>UI主操作＋API只读核对</x:v>
      </x:c>
      <x:c r="M96" s="17" t="str">
        <x:v>每次变更冒烟</x:v>
      </x:c>
      <x:c r="N96" s="17" t="str">
        <x:v>目标设备具备该能力</x:v>
      </x:c>
      <x:c r="O96" s="17" t="str">
        <x:v>src/web/src/views/gam/taskManager/editTask；src/web/src/api/gam.js；test/test_camera_task_param_sync.cc</x:v>
      </x:c>
      <x:c r="P96" s="17" t="str">
        <x:v>未执行</x:v>
      </x:c>
      <x:c r="Q96" s="19" t="str"/>
      <x:c r="R96" s="17" t="str"/>
      <x:c r="S96" s="17" t="str"/>
      <x:c r="T96" s="17" t="n">
        <x:v>1</x:v>
      </x:c>
      <x:c r="U96" s="17" t="str">
        <x:v>DUT；FACE-VIDEO；MODEL-INVENTORY</x:v>
      </x:c>
      <x:c r="V96" s="17" t="str">
        <x:v>codex-ui-and-evidence</x:v>
      </x:c>
      <x:c r="W96" s="17" t="str"/>
      <x:c r="X96" s="17" t="str"/>
      <x:c r="Y96" s="17" t="str"/>
      <x:c r="Z96" s="17" t="str"/>
      <x:c r="AA96" s="17" t="str"/>
      <x:c r="AB96" s="17" t="str"/>
      <x:c r="AC96" s="17" t="str"/>
    </x:row>
    <x:row r="97" ht="68" customHeight="1">
      <x:c r="A97" s="4" t="str">
        <x:v>TASK-003</x:v>
      </x:c>
      <x:c r="B97" s="4" t="str">
        <x:v>J04</x:v>
      </x:c>
      <x:c r="C97" s="4" t="str">
        <x:v>任务配置与运行</x:v>
      </x:c>
      <x:c r="D97" s="4" t="str">
        <x:v>P1</x:v>
      </x:c>
      <x:c r="E97" s="4" t="str">
        <x:v>所有暴露参数逐字段覆盖</x:v>
      </x:c>
      <x:c r="F97" s="4" t="str">
        <x:v>两路以上本轮通道；固定可复现正负样本；参数覆盖表按目标实际集合展开</x:v>
      </x:c>
      <x:c r="G97" s="4" t="str">
        <x:v>FACE-VIDEO；多厂商实时流；已安装场景</x:v>
      </x:c>
      <x:c r="H97" s="4" t="str">
        <x:v>1. 按参数表逐项输入合法值
2. 保存回读
3. 输入边界及非法值
4. 比较运行行为</x:v>
      </x:c>
      <x:c r="I97" s="4" t="str">
        <x:v>每个参数有独立子结果；schema不完整时先核对后端契约并标待确认，不猜范围。</x:v>
      </x:c>
      <x:c r="J97" s="4" t="str">
        <x:v>停止本轮任务；回滚参数和绑定；核对运行实例释放</x:v>
      </x:c>
      <x:c r="K97" s="4" t="str">
        <x:v>步骤观察、实际结果、证据文件与清理核对</x:v>
      </x:c>
      <x:c r="L97" s="4" t="str">
        <x:v>UI主操作＋API只读核对</x:v>
      </x:c>
      <x:c r="M97" s="4" t="str">
        <x:v>受影响模块回归</x:v>
      </x:c>
      <x:c r="N97" s="4" t="str">
        <x:v>目标设备具备该能力</x:v>
      </x:c>
      <x:c r="O97" s="4" t="str">
        <x:v>src/web/src/views/gam/taskManager/editTask；src/web/src/api/gam.js；test/test_camera_task_param_sync.cc</x:v>
      </x:c>
      <x:c r="P97" s="4" t="str">
        <x:v>未执行</x:v>
      </x:c>
      <x:c r="Q97" s="19" t="str"/>
      <x:c r="R97" s="12" t="str"/>
      <x:c r="S97" s="12" t="str"/>
      <x:c r="T97" s="4" t="n">
        <x:v>1</x:v>
      </x:c>
      <x:c r="U97" s="4" t="str">
        <x:v>DUT；FACE-VIDEO；MODEL-INVENTORY</x:v>
      </x:c>
      <x:c r="V97" s="4" t="str">
        <x:v>codex-ui-and-evidence</x:v>
      </x:c>
      <x:c r="W97" s="4" t="str"/>
      <x:c r="X97" s="4" t="str"/>
      <x:c r="Y97" s="4" t="str"/>
      <x:c r="Z97" s="4" t="str"/>
      <x:c r="AA97" s="4" t="str"/>
      <x:c r="AB97" s="4" t="str"/>
      <x:c r="AC97" s="4" t="str"/>
    </x:row>
    <x:row r="98" ht="68" customHeight="1">
      <x:c r="A98" s="17" t="str">
        <x:v>TASK-004</x:v>
      </x:c>
      <x:c r="B98" s="17" t="str">
        <x:v>J04</x:v>
      </x:c>
      <x:c r="C98" s="17" t="str">
        <x:v>任务配置与运行</x:v>
      </x:c>
      <x:c r="D98" s="17" t="str">
        <x:v>P0</x:v>
      </x:c>
      <x:c r="E98" s="17" t="str">
        <x:v>告警间隔与去重</x:v>
      </x:c>
      <x:c r="F98" s="17" t="str">
        <x:v>两路以上本轮通道；固定可复现正负样本；重复出现同一目标的固定视频</x:v>
      </x:c>
      <x:c r="G98" s="17" t="str">
        <x:v>FACE-VIDEO；多厂商实时流；已安装场景</x:v>
      </x:c>
      <x:c r="H98" s="17" t="str">
        <x:v>1. 设告警间隔和去重
2. 连续触发
3. 查询事件时间和ID
4. 改参数重播</x:v>
      </x:c>
      <x:c r="I98" s="17" t="str">
        <x:v>同一目标抑制与再次报警符合约定窗口；不同目标不被错误合并；以事件落库为准。</x:v>
      </x:c>
      <x:c r="J98" s="17" t="str">
        <x:v>停止本轮任务；回滚参数和绑定；核对运行实例释放</x:v>
      </x:c>
      <x:c r="K98" s="17" t="str">
        <x:v>步骤观察、实际结果、证据文件与清理核对</x:v>
      </x:c>
      <x:c r="L98" s="17" t="str">
        <x:v>UI主操作＋API只读核对</x:v>
      </x:c>
      <x:c r="M98" s="17" t="str">
        <x:v>受影响模块回归</x:v>
      </x:c>
      <x:c r="N98" s="17" t="str">
        <x:v>目标设备具备该能力</x:v>
      </x:c>
      <x:c r="O98" s="17" t="str">
        <x:v>src/web/src/views/gam/taskManager/editTask；src/web/src/api/gam.js；test/test_camera_task_param_sync.cc</x:v>
      </x:c>
      <x:c r="P98" s="17" t="str">
        <x:v>未执行</x:v>
      </x:c>
      <x:c r="Q98" s="19" t="str"/>
      <x:c r="R98" s="17" t="str"/>
      <x:c r="S98" s="17" t="str"/>
      <x:c r="T98" s="17" t="n">
        <x:v>1</x:v>
      </x:c>
      <x:c r="U98" s="17" t="str">
        <x:v>DUT；FACE-VIDEO；MODEL-INVENTORY；SCENARIO-TRUTH</x:v>
      </x:c>
      <x:c r="V98" s="17" t="str">
        <x:v>codex-ui-and-evidence</x:v>
      </x:c>
      <x:c r="W98" s="17" t="str"/>
      <x:c r="X98" s="17" t="str"/>
      <x:c r="Y98" s="17" t="str"/>
      <x:c r="Z98" s="17" t="str"/>
      <x:c r="AA98" s="17" t="str"/>
      <x:c r="AB98" s="17" t="str"/>
      <x:c r="AC98" s="17" t="str"/>
    </x:row>
    <x:row r="99" ht="53" customHeight="1">
      <x:c r="A99" s="4" t="str">
        <x:v>TASK-005</x:v>
      </x:c>
      <x:c r="B99" s="4" t="str">
        <x:v>J04</x:v>
      </x:c>
      <x:c r="C99" s="4" t="str">
        <x:v>任务配置与运行</x:v>
      </x:c>
      <x:c r="D99" s="4" t="str">
        <x:v>P1</x:v>
      </x:c>
      <x:c r="E99" s="4" t="str">
        <x:v>持续时间与灵敏度</x:v>
      </x:c>
      <x:c r="F99" s="4" t="str">
        <x:v>两路以上本轮通道；固定可复现正负样本；短于/等于/长于阈值的标注片段</x:v>
      </x:c>
      <x:c r="G99" s="4" t="str">
        <x:v>FACE-VIDEO；多厂商实时流；已安装场景</x:v>
      </x:c>
      <x:c r="H99" s="4" t="str">
        <x:v>1. 调整计时灵敏度
2. 播三类片段
3. 再切计次配置</x:v>
      </x:c>
      <x:c r="I99" s="4" t="str">
        <x:v>按具体节点公式判定；不假定所有算法必须等满时间；计时计次切换无参数串用。</x:v>
      </x:c>
      <x:c r="J99" s="4" t="str">
        <x:v>停止本轮任务；回滚参数和绑定；核对运行实例释放</x:v>
      </x:c>
      <x:c r="K99" s="4" t="str">
        <x:v>步骤观察、实际结果、证据文件与清理核对</x:v>
      </x:c>
      <x:c r="L99" s="4" t="str">
        <x:v>UI主操作＋API只读核对</x:v>
      </x:c>
      <x:c r="M99" s="4" t="str">
        <x:v>受影响模块回归</x:v>
      </x:c>
      <x:c r="N99" s="4" t="str">
        <x:v>目标设备具备该能力</x:v>
      </x:c>
      <x:c r="O99" s="4" t="str">
        <x:v>src/web/src/views/gam/taskManager/editTask；src/web/src/api/gam.js；test/test_camera_task_param_sync.cc</x:v>
      </x:c>
      <x:c r="P99" s="4" t="str">
        <x:v>未执行</x:v>
      </x:c>
      <x:c r="Q99" s="19" t="str"/>
      <x:c r="R99" s="12" t="str"/>
      <x:c r="S99" s="12" t="str"/>
      <x:c r="T99" s="4" t="n">
        <x:v>1</x:v>
      </x:c>
      <x:c r="U99" s="4" t="str">
        <x:v>DUT；FACE-VIDEO；MODEL-INVENTORY；SCENARIO-TRUTH</x:v>
      </x:c>
      <x:c r="V99" s="4" t="str">
        <x:v>codex-ui-and-evidence</x:v>
      </x:c>
      <x:c r="W99" s="4" t="str"/>
      <x:c r="X99" s="4" t="str"/>
      <x:c r="Y99" s="4" t="str"/>
      <x:c r="Z99" s="4" t="str"/>
      <x:c r="AA99" s="4" t="str"/>
      <x:c r="AB99" s="4" t="str"/>
      <x:c r="AC99" s="4" t="str"/>
    </x:row>
    <x:row r="100" ht="53" customHeight="1">
      <x:c r="A100" s="17" t="str">
        <x:v>TASK-006</x:v>
      </x:c>
      <x:c r="B100" s="17" t="str">
        <x:v>J04</x:v>
      </x:c>
      <x:c r="C100" s="17" t="str">
        <x:v>任务配置与运行</x:v>
      </x:c>
      <x:c r="D100" s="17" t="str">
        <x:v>P1</x:v>
      </x:c>
      <x:c r="E100" s="17" t="str">
        <x:v>检测频率与最小目标</x:v>
      </x:c>
      <x:c r="F100" s="17" t="str">
        <x:v>两路以上本轮通道；固定可复现正负样本；已标注目标尺寸和时间的样本</x:v>
      </x:c>
      <x:c r="G100" s="17" t="str">
        <x:v>FACE-VIDEO；多厂商实时流；已安装场景</x:v>
      </x:c>
      <x:c r="H100" s="17" t="str">
        <x:v>1. 修改取帧频率和最小目标尺寸
2. 观察处理速率与筛选数量
3. 重启回读</x:v>
      </x:c>
      <x:c r="I100" s="17" t="str">
        <x:v>推理速率和筛选行为符合配置；不能把视频FPS等同推理FPS；重启后不复位。</x:v>
      </x:c>
      <x:c r="J100" s="17" t="str">
        <x:v>停止本轮任务；回滚参数和绑定；核对运行实例释放</x:v>
      </x:c>
      <x:c r="K100" s="17" t="str">
        <x:v>步骤观察、实际结果、证据文件与清理核对</x:v>
      </x:c>
      <x:c r="L100" s="17" t="str">
        <x:v>UI主操作＋API只读核对</x:v>
      </x:c>
      <x:c r="M100" s="17" t="str">
        <x:v>受影响模块回归</x:v>
      </x:c>
      <x:c r="N100" s="17" t="str">
        <x:v>目标设备具备该能力</x:v>
      </x:c>
      <x:c r="O100" s="17" t="str">
        <x:v>src/web/src/views/gam/taskManager/editTask；src/web/src/api/gam.js；test/test_camera_task_param_sync.cc</x:v>
      </x:c>
      <x:c r="P100" s="17" t="str">
        <x:v>未执行</x:v>
      </x:c>
      <x:c r="Q100" s="19" t="str"/>
      <x:c r="R100" s="17" t="str"/>
      <x:c r="S100" s="17" t="str"/>
      <x:c r="T100" s="17" t="n">
        <x:v>1</x:v>
      </x:c>
      <x:c r="U100" s="17" t="str">
        <x:v>DUT；FACE-VIDEO；MODEL-INVENTORY；SCENARIO-TRUTH</x:v>
      </x:c>
      <x:c r="V100" s="17" t="str">
        <x:v>codex-ui-and-evidence</x:v>
      </x:c>
      <x:c r="W100" s="17" t="str"/>
      <x:c r="X100" s="17" t="str"/>
      <x:c r="Y100" s="17" t="str"/>
      <x:c r="Z100" s="17" t="str"/>
      <x:c r="AA100" s="17" t="str"/>
      <x:c r="AB100" s="17" t="str"/>
      <x:c r="AC100" s="17" t="str"/>
    </x:row>
    <x:row r="101" ht="53" customHeight="1">
      <x:c r="A101" s="4" t="str">
        <x:v>TASK-007</x:v>
      </x:c>
      <x:c r="B101" s="4" t="str">
        <x:v>J04</x:v>
      </x:c>
      <x:c r="C101" s="4" t="str">
        <x:v>任务配置与运行</x:v>
      </x:c>
      <x:c r="D101" s="4" t="str">
        <x:v>P1</x:v>
      </x:c>
      <x:c r="E101" s="4" t="str">
        <x:v>检测点位置选择</x:v>
      </x:c>
      <x:c r="F101" s="4" t="str">
        <x:v>两路以上本轮通道；固定可复现正负样本；目标框跨ROI边缘</x:v>
      </x:c>
      <x:c r="G101" s="4" t="str">
        <x:v>FACE-VIDEO；多厂商实时流；已安装场景</x:v>
      </x:c>
      <x:c r="H101" s="4" t="str">
        <x:v>1. 依次选择底部中心顶部
2. 播放相同路径
3. 对比区域触发</x:v>
      </x:c>
      <x:c r="I101" s="4" t="str">
        <x:v>区域命中随约定检测点变化；画布和运行坐标一致。</x:v>
      </x:c>
      <x:c r="J101" s="4" t="str">
        <x:v>停止本轮任务；回滚参数和绑定；核对运行实例释放</x:v>
      </x:c>
      <x:c r="K101" s="4" t="str">
        <x:v>步骤观察、实际结果、证据文件与清理核对</x:v>
      </x:c>
      <x:c r="L101" s="4" t="str">
        <x:v>UI主操作＋API只读核对</x:v>
      </x:c>
      <x:c r="M101" s="4" t="str">
        <x:v>受影响模块回归</x:v>
      </x:c>
      <x:c r="N101" s="4" t="str">
        <x:v>目标设备具备该能力</x:v>
      </x:c>
      <x:c r="O101" s="4" t="str">
        <x:v>src/web/src/views/gam/taskManager/editTask；src/web/src/api/gam.js；test/test_camera_task_param_sync.cc</x:v>
      </x:c>
      <x:c r="P101" s="4" t="str">
        <x:v>未执行</x:v>
      </x:c>
      <x:c r="Q101" s="19" t="str"/>
      <x:c r="R101" s="12" t="str"/>
      <x:c r="S101" s="12" t="str"/>
      <x:c r="T101" s="4" t="n">
        <x:v>1</x:v>
      </x:c>
      <x:c r="U101" s="4" t="str">
        <x:v>DUT；FACE-VIDEO；MODEL-INVENTORY</x:v>
      </x:c>
      <x:c r="V101" s="4" t="str">
        <x:v>codex-ui-and-evidence</x:v>
      </x:c>
      <x:c r="W101" s="4" t="str"/>
      <x:c r="X101" s="4" t="str"/>
      <x:c r="Y101" s="4" t="str"/>
      <x:c r="Z101" s="4" t="str"/>
      <x:c r="AA101" s="4" t="str"/>
      <x:c r="AB101" s="4" t="str"/>
      <x:c r="AC101" s="4" t="str"/>
    </x:row>
    <x:row r="102" ht="68" customHeight="1">
      <x:c r="A102" s="17" t="str">
        <x:v>TASK-008</x:v>
      </x:c>
      <x:c r="B102" s="17" t="str">
        <x:v>J04</x:v>
      </x:c>
      <x:c r="C102" s="17" t="str">
        <x:v>任务配置与运行</x:v>
      </x:c>
      <x:c r="D102" s="17" t="str">
        <x:v>P0</x:v>
      </x:c>
      <x:c r="E102" s="17" t="str">
        <x:v>切换底库和多分组</x:v>
      </x:c>
      <x:c r="F102" s="17" t="str">
        <x:v>两路以上本轮通道；固定可复现正负样本；两个底库分别包含不同匿名样本</x:v>
      </x:c>
      <x:c r="G102" s="17" t="str">
        <x:v>FACE-VIDEO；多厂商实时流；已安装场景</x:v>
      </x:c>
      <x:c r="H102" s="17" t="str">
        <x:v>1. 只绑A库运行
2. 改绑B
3. 同绑A+B
4. 删除绑定后运行</x:v>
      </x:c>
      <x:c r="I102" s="17" t="str">
        <x:v>命中来自当前绑定集合；缺绑定明确报配置问题；不沿用旧库或全部库。</x:v>
      </x:c>
      <x:c r="J102" s="17" t="str">
        <x:v>停止本轮任务；回滚参数和绑定；核对运行实例释放</x:v>
      </x:c>
      <x:c r="K102" s="17" t="str">
        <x:v>步骤观察、实际结果、证据文件与清理核对</x:v>
      </x:c>
      <x:c r="L102" s="17" t="str">
        <x:v>UI主操作＋API只读核对</x:v>
      </x:c>
      <x:c r="M102" s="17" t="str">
        <x:v>受影响模块回归</x:v>
      </x:c>
      <x:c r="N102" s="17" t="str">
        <x:v>目标设备具备该能力</x:v>
      </x:c>
      <x:c r="O102" s="17" t="str">
        <x:v>src/web/src/views/gam/taskManager/editTask；src/web/src/api/gam.js；test/test_camera_task_param_sync.cc</x:v>
      </x:c>
      <x:c r="P102" s="17" t="str">
        <x:v>未执行</x:v>
      </x:c>
      <x:c r="Q102" s="19" t="str"/>
      <x:c r="R102" s="17" t="str"/>
      <x:c r="S102" s="17" t="str"/>
      <x:c r="T102" s="17" t="n">
        <x:v>1</x:v>
      </x:c>
      <x:c r="U102" s="17" t="str">
        <x:v>DUT；FACE-VIDEO；MODEL-INVENTORY</x:v>
      </x:c>
      <x:c r="V102" s="17" t="str">
        <x:v>codex-ui-and-evidence</x:v>
      </x:c>
      <x:c r="W102" s="17" t="str"/>
      <x:c r="X102" s="17" t="str"/>
      <x:c r="Y102" s="17" t="str"/>
      <x:c r="Z102" s="17" t="str"/>
      <x:c r="AA102" s="17" t="str"/>
      <x:c r="AB102" s="17" t="str"/>
      <x:c r="AC102" s="17" t="str"/>
    </x:row>
    <x:row r="103" ht="68" customHeight="1">
      <x:c r="A103" s="4" t="str">
        <x:v>TASK-009</x:v>
      </x:c>
      <x:c r="B103" s="4" t="str">
        <x:v>J04</x:v>
      </x:c>
      <x:c r="C103" s="4" t="str">
        <x:v>任务配置与运行</x:v>
      </x:c>
      <x:c r="D103" s="4" t="str">
        <x:v>P0</x:v>
      </x:c>
      <x:c r="E103" s="4" t="str">
        <x:v>批量应用参数选择范围</x:v>
      </x:c>
      <x:c r="F103" s="4" t="str">
        <x:v>两路以上本轮通道；固定可复现正负样本；三个通道同场景，目标仅选两个</x:v>
      </x:c>
      <x:c r="G103" s="4" t="str">
        <x:v>FACE-VIDEO；多厂商实时流；已安装场景</x:v>
      </x:c>
      <x:c r="H103" s="4" t="str">
        <x:v>1. 从源任务打开批量应用
2. 选参数和目标通道
3. 应用
4. 分别回读三路</x:v>
      </x:c>
      <x:c r="I103" s="4" t="str">
        <x:v>仅选定参数和通道改变；区域/绑定等是否可批量按界面契约核对；未选项保持。</x:v>
      </x:c>
      <x:c r="J103" s="4" t="str">
        <x:v>停止本轮任务；回滚参数和绑定；核对运行实例释放</x:v>
      </x:c>
      <x:c r="K103" s="4" t="str">
        <x:v>步骤观察、实际结果、证据文件与清理核对</x:v>
      </x:c>
      <x:c r="L103" s="4" t="str">
        <x:v>UI主操作＋API只读核对</x:v>
      </x:c>
      <x:c r="M103" s="4" t="str">
        <x:v>受影响模块回归</x:v>
      </x:c>
      <x:c r="N103" s="4" t="str">
        <x:v>目标设备具备该能力</x:v>
      </x:c>
      <x:c r="O103" s="4" t="str">
        <x:v>src/web/src/views/gam/taskManager/editTask；src/web/src/api/gam.js；test/test_camera_task_param_sync.cc</x:v>
      </x:c>
      <x:c r="P103" s="4" t="str">
        <x:v>未执行</x:v>
      </x:c>
      <x:c r="Q103" s="19" t="str"/>
      <x:c r="R103" s="12" t="str"/>
      <x:c r="S103" s="12" t="str"/>
      <x:c r="T103" s="4" t="n">
        <x:v>1</x:v>
      </x:c>
      <x:c r="U103" s="4" t="str">
        <x:v>DUT；FACE-VIDEO；MODEL-INVENTORY</x:v>
      </x:c>
      <x:c r="V103" s="4" t="str">
        <x:v>codex-ui-and-evidence</x:v>
      </x:c>
      <x:c r="W103" s="4" t="str"/>
      <x:c r="X103" s="4" t="str"/>
      <x:c r="Y103" s="4" t="str"/>
      <x:c r="Z103" s="4" t="str"/>
      <x:c r="AA103" s="4" t="str"/>
      <x:c r="AB103" s="4" t="str"/>
      <x:c r="AC103" s="4" t="str"/>
    </x:row>
    <x:row r="104" ht="53" customHeight="1">
      <x:c r="A104" s="17" t="str">
        <x:v>TASK-010</x:v>
      </x:c>
      <x:c r="B104" s="17" t="str">
        <x:v>J04</x:v>
      </x:c>
      <x:c r="C104" s="17" t="str">
        <x:v>任务配置与运行</x:v>
      </x:c>
      <x:c r="D104" s="17" t="str">
        <x:v>P1</x:v>
      </x:c>
      <x:c r="E104" s="17" t="str">
        <x:v>批量应用部分失败</x:v>
      </x:c>
      <x:c r="F104" s="17" t="str">
        <x:v>两路以上本轮通道；固定可复现正负样本；一路正常一路缺算法/离线</x:v>
      </x:c>
      <x:c r="G104" s="17" t="str">
        <x:v>FACE-VIDEO；多厂商实时流；已安装场景</x:v>
      </x:c>
      <x:c r="H104" s="17" t="str">
        <x:v>1. 批量应用
2. 查看成功失败明细
3. 修复失败项重试</x:v>
      </x:c>
      <x:c r="I104" s="17" t="str">
        <x:v>可定位失败项；成功项不回退；无假全成功；重试不重复创建任务。</x:v>
      </x:c>
      <x:c r="J104" s="17" t="str">
        <x:v>停止本轮任务；回滚参数和绑定；核对运行实例释放</x:v>
      </x:c>
      <x:c r="K104" s="17" t="str">
        <x:v>步骤观察、实际结果、证据文件与清理核对</x:v>
      </x:c>
      <x:c r="L104" s="17" t="str">
        <x:v>UI主操作＋API只读核对</x:v>
      </x:c>
      <x:c r="M104" s="17" t="str">
        <x:v>受影响模块回归</x:v>
      </x:c>
      <x:c r="N104" s="17" t="str">
        <x:v>目标设备具备该能力</x:v>
      </x:c>
      <x:c r="O104" s="17" t="str">
        <x:v>src/web/src/views/gam/taskManager/editTask；src/web/src/api/gam.js；test/test_camera_task_param_sync.cc</x:v>
      </x:c>
      <x:c r="P104" s="17" t="str">
        <x:v>未执行</x:v>
      </x:c>
      <x:c r="Q104" s="19" t="str"/>
      <x:c r="R104" s="17" t="str"/>
      <x:c r="S104" s="17" t="str"/>
      <x:c r="T104" s="17" t="n">
        <x:v>1</x:v>
      </x:c>
      <x:c r="U104" s="17" t="str">
        <x:v>DUT；FACE-VIDEO；MODEL-INVENTORY</x:v>
      </x:c>
      <x:c r="V104" s="17" t="str">
        <x:v>codex-ui-and-evidence</x:v>
      </x:c>
      <x:c r="W104" s="17" t="str"/>
      <x:c r="X104" s="17" t="str"/>
      <x:c r="Y104" s="17" t="str"/>
      <x:c r="Z104" s="17" t="str"/>
      <x:c r="AA104" s="17" t="str"/>
      <x:c r="AB104" s="17" t="str"/>
      <x:c r="AC104" s="17" t="str"/>
    </x:row>
    <x:row r="105" ht="83" customHeight="1">
      <x:c r="A105" s="4" t="str">
        <x:v>TASK-011</x:v>
      </x:c>
      <x:c r="B105" s="4" t="str">
        <x:v>J04</x:v>
      </x:c>
      <x:c r="C105" s="4" t="str">
        <x:v>任务配置与运行</x:v>
      </x:c>
      <x:c r="D105" s="4" t="str">
        <x:v>P0</x:v>
      </x:c>
      <x:c r="E105" s="4" t="str">
        <x:v>批量启停与幂等</x:v>
      </x:c>
      <x:c r="F105" s="4" t="str">
        <x:v>两路以上本轮通道；固定可复现正负样本</x:v>
      </x:c>
      <x:c r="G105" s="4" t="str">
        <x:v>FACE-VIDEO；多厂商实时流；已安装场景</x:v>
      </x:c>
      <x:c r="H105" s="4" t="str">
        <x:v>1. 多路全开
2. 重复点击开
3. 多路关闭
4. 重复关闭
5. 查运行详情</x:v>
      </x:c>
      <x:c r="I105" s="4" t="str">
        <x:v>每任务最多一个活动实例；操作结果明确；关闭释放资源且其他场景不受影响。</x:v>
      </x:c>
      <x:c r="J105" s="4" t="str">
        <x:v>停止本轮任务；回滚参数和绑定；核对运行实例释放</x:v>
      </x:c>
      <x:c r="K105" s="4" t="str">
        <x:v>步骤观察、实际结果、证据文件与清理核对</x:v>
      </x:c>
      <x:c r="L105" s="4" t="str">
        <x:v>UI主操作＋API只读核对</x:v>
      </x:c>
      <x:c r="M105" s="4" t="str">
        <x:v>受影响模块回归</x:v>
      </x:c>
      <x:c r="N105" s="4" t="str">
        <x:v>目标设备具备该能力</x:v>
      </x:c>
      <x:c r="O105" s="4" t="str">
        <x:v>src/web/src/views/gam/taskManager/editTask；src/web/src/api/gam.js；test/test_camera_task_param_sync.cc</x:v>
      </x:c>
      <x:c r="P105" s="4" t="str">
        <x:v>未执行</x:v>
      </x:c>
      <x:c r="Q105" s="19" t="str"/>
      <x:c r="R105" s="12" t="str"/>
      <x:c r="S105" s="12" t="str"/>
      <x:c r="T105" s="4" t="n">
        <x:v>1</x:v>
      </x:c>
      <x:c r="U105" s="4" t="str">
        <x:v>DUT；FACE-VIDEO；MODEL-INVENTORY</x:v>
      </x:c>
      <x:c r="V105" s="4" t="str">
        <x:v>codex-ui-and-evidence</x:v>
      </x:c>
      <x:c r="W105" s="4" t="str"/>
      <x:c r="X105" s="4" t="str"/>
      <x:c r="Y105" s="4" t="str"/>
      <x:c r="Z105" s="4" t="str"/>
      <x:c r="AA105" s="4" t="str"/>
      <x:c r="AB105" s="4" t="str"/>
      <x:c r="AC105" s="4" t="str"/>
    </x:row>
    <x:row r="106" ht="53" customHeight="1">
      <x:c r="A106" s="17" t="str">
        <x:v>TASK-012</x:v>
      </x:c>
      <x:c r="B106" s="17" t="str">
        <x:v>J04</x:v>
      </x:c>
      <x:c r="C106" s="17" t="str">
        <x:v>任务配置与运行</x:v>
      </x:c>
      <x:c r="D106" s="17" t="str">
        <x:v>P0</x:v>
      </x:c>
      <x:c r="E106" s="17" t="str">
        <x:v>运行中编辑参数</x:v>
      </x:c>
      <x:c r="F106" s="17" t="str">
        <x:v>两路以上本轮通道；固定可复现正负样本；持续运行固定视频</x:v>
      </x:c>
      <x:c r="G106" s="17" t="str">
        <x:v>FACE-VIDEO；多厂商实时流；已安装场景</x:v>
      </x:c>
      <x:c r="H106" s="17" t="str">
        <x:v>1. 保存一个阈值
2. 同时查看事件和任务详情
3. 重新打开编辑页</x:v>
      </x:c>
      <x:c r="I106" s="17" t="str">
        <x:v>新配置按实现的热更新/重启机制生效；中间失败不留下配置与运行永久不一致。</x:v>
      </x:c>
      <x:c r="J106" s="17" t="str">
        <x:v>停止本轮任务；回滚参数和绑定；核对运行实例释放</x:v>
      </x:c>
      <x:c r="K106" s="17" t="str">
        <x:v>步骤观察、实际结果、证据文件与清理核对</x:v>
      </x:c>
      <x:c r="L106" s="17" t="str">
        <x:v>UI主操作＋API只读核对</x:v>
      </x:c>
      <x:c r="M106" s="17" t="str">
        <x:v>受影响模块回归</x:v>
      </x:c>
      <x:c r="N106" s="17" t="str">
        <x:v>目标设备具备该能力</x:v>
      </x:c>
      <x:c r="O106" s="17" t="str">
        <x:v>src/web/src/views/gam/taskManager/editTask；src/web/src/api/gam.js；test/test_camera_task_param_sync.cc</x:v>
      </x:c>
      <x:c r="P106" s="17" t="str">
        <x:v>未执行</x:v>
      </x:c>
      <x:c r="Q106" s="19" t="str"/>
      <x:c r="R106" s="17" t="str"/>
      <x:c r="S106" s="17" t="str"/>
      <x:c r="T106" s="17" t="n">
        <x:v>1</x:v>
      </x:c>
      <x:c r="U106" s="17" t="str">
        <x:v>DUT；FACE-VIDEO；MODEL-INVENTORY</x:v>
      </x:c>
      <x:c r="V106" s="17" t="str">
        <x:v>codex-ui-and-evidence</x:v>
      </x:c>
      <x:c r="W106" s="17" t="str"/>
      <x:c r="X106" s="17" t="str"/>
      <x:c r="Y106" s="17" t="str"/>
      <x:c r="Z106" s="17" t="str"/>
      <x:c r="AA106" s="17" t="str"/>
      <x:c r="AB106" s="17" t="str"/>
      <x:c r="AC106" s="17" t="str"/>
    </x:row>
    <x:row r="107" ht="68" customHeight="1">
      <x:c r="A107" s="4" t="str">
        <x:v>TASK-013</x:v>
      </x:c>
      <x:c r="B107" s="4" t="str">
        <x:v>J04</x:v>
      </x:c>
      <x:c r="C107" s="4" t="str">
        <x:v>任务配置与运行</x:v>
      </x:c>
      <x:c r="D107" s="4" t="str">
        <x:v>P0</x:v>
      </x:c>
      <x:c r="E107" s="4" t="str">
        <x:v>同通道多算法独立性</x:v>
      </x:c>
      <x:c r="F107" s="4" t="str">
        <x:v>两路以上本轮通道；固定可复现正负样本；同源绑定两个场景</x:v>
      </x:c>
      <x:c r="G107" s="4" t="str">
        <x:v>FACE-VIDEO；多厂商实时流；已安装场景</x:v>
      </x:c>
      <x:c r="H107" s="4" t="str">
        <x:v>1. 分别调整A和B
2. 停A留B
3. 重启A
4. 查询事件</x:v>
      </x:c>
      <x:c r="I107" s="4" t="str">
        <x:v>参数、运行状态和事件归属独立；停止A不误停B；共享媒体生命周期正确。</x:v>
      </x:c>
      <x:c r="J107" s="4" t="str">
        <x:v>停止本轮任务；回滚参数和绑定；核对运行实例释放</x:v>
      </x:c>
      <x:c r="K107" s="4" t="str">
        <x:v>步骤观察、实际结果、证据文件与清理核对</x:v>
      </x:c>
      <x:c r="L107" s="4" t="str">
        <x:v>UI主操作＋API只读核对</x:v>
      </x:c>
      <x:c r="M107" s="4" t="str">
        <x:v>受影响模块回归</x:v>
      </x:c>
      <x:c r="N107" s="4" t="str">
        <x:v>目标设备具备该能力</x:v>
      </x:c>
      <x:c r="O107" s="4" t="str">
        <x:v>src/web/src/views/gam/taskManager/editTask；src/web/src/api/gam.js；test/test_camera_task_param_sync.cc</x:v>
      </x:c>
      <x:c r="P107" s="4" t="str">
        <x:v>未执行</x:v>
      </x:c>
      <x:c r="Q107" s="19" t="str"/>
      <x:c r="R107" s="12" t="str"/>
      <x:c r="S107" s="12" t="str"/>
      <x:c r="T107" s="4" t="n">
        <x:v>1</x:v>
      </x:c>
      <x:c r="U107" s="4" t="str">
        <x:v>DUT；FACE-VIDEO；MODEL-INVENTORY</x:v>
      </x:c>
      <x:c r="V107" s="4" t="str">
        <x:v>codex-ui-and-evidence</x:v>
      </x:c>
      <x:c r="W107" s="4" t="str"/>
      <x:c r="X107" s="4" t="str"/>
      <x:c r="Y107" s="4" t="str"/>
      <x:c r="Z107" s="4" t="str"/>
      <x:c r="AA107" s="4" t="str"/>
      <x:c r="AB107" s="4" t="str"/>
      <x:c r="AC107" s="4" t="str"/>
    </x:row>
    <x:row r="108" ht="68" customHeight="1">
      <x:c r="A108" s="17" t="str">
        <x:v>TASK-014</x:v>
      </x:c>
      <x:c r="B108" s="17" t="str">
        <x:v>J04</x:v>
      </x:c>
      <x:c r="C108" s="17" t="str">
        <x:v>任务配置与运行</x:v>
      </x:c>
      <x:c r="D108" s="17" t="str">
        <x:v>P1</x:v>
      </x:c>
      <x:c r="E108" s="17" t="str">
        <x:v>任务删除与引用清理</x:v>
      </x:c>
      <x:c r="F108" s="17" t="str">
        <x:v>两路以上本轮通道；固定可复现正负样本</x:v>
      </x:c>
      <x:c r="G108" s="17" t="str">
        <x:v>FACE-VIDEO；多厂商实时流；已安装场景</x:v>
      </x:c>
      <x:c r="H108" s="17" t="str">
        <x:v>1. 取消删除
2. 删除停止任务
3. 删除运行任务
4. 批量删除选定任务</x:v>
      </x:c>
      <x:c r="I108" s="17" t="str">
        <x:v>取消无影响；已删除任务不再处理或产生日后事件；通道和其他任务不被误删。</x:v>
      </x:c>
      <x:c r="J108" s="17" t="str">
        <x:v>停止本轮任务；回滚参数和绑定；核对运行实例释放</x:v>
      </x:c>
      <x:c r="K108" s="17" t="str">
        <x:v>步骤观察、实际结果、证据文件与清理核对</x:v>
      </x:c>
      <x:c r="L108" s="17" t="str">
        <x:v>UI主操作＋API只读核对</x:v>
      </x:c>
      <x:c r="M108" s="17" t="str">
        <x:v>受影响模块回归</x:v>
      </x:c>
      <x:c r="N108" s="17" t="str">
        <x:v>目标设备具备该能力</x:v>
      </x:c>
      <x:c r="O108" s="17" t="str">
        <x:v>src/web/src/views/gam/taskManager/editTask；src/web/src/api/gam.js；test/test_camera_task_param_sync.cc</x:v>
      </x:c>
      <x:c r="P108" s="17" t="str">
        <x:v>未执行</x:v>
      </x:c>
      <x:c r="Q108" s="19" t="str"/>
      <x:c r="R108" s="17" t="str"/>
      <x:c r="S108" s="17" t="str"/>
      <x:c r="T108" s="17" t="n">
        <x:v>1</x:v>
      </x:c>
      <x:c r="U108" s="17" t="str">
        <x:v>DUT；FACE-VIDEO；MODEL-INVENTORY</x:v>
      </x:c>
      <x:c r="V108" s="17" t="str">
        <x:v>codex-ui-and-evidence</x:v>
      </x:c>
      <x:c r="W108" s="17" t="str"/>
      <x:c r="X108" s="17" t="str"/>
      <x:c r="Y108" s="17" t="str"/>
      <x:c r="Z108" s="17" t="str"/>
      <x:c r="AA108" s="17" t="str"/>
      <x:c r="AB108" s="17" t="str"/>
      <x:c r="AC108" s="17" t="str"/>
    </x:row>
    <x:row r="109" ht="68" customHeight="1">
      <x:c r="A109" s="4" t="str">
        <x:v>TASK-015</x:v>
      </x:c>
      <x:c r="B109" s="4" t="str">
        <x:v>J04</x:v>
      </x:c>
      <x:c r="C109" s="4" t="str">
        <x:v>任务配置与运行</x:v>
      </x:c>
      <x:c r="D109" s="4" t="str">
        <x:v>P0</x:v>
      </x:c>
      <x:c r="E109" s="4" t="str">
        <x:v>重启持久化与恢复</x:v>
      </x:c>
      <x:c r="F109" s="4" t="str">
        <x:v>两路以上本轮通道；固定可复现正负样本；具备重启窗口</x:v>
      </x:c>
      <x:c r="G109" s="4" t="str">
        <x:v>FACE-VIDEO；多厂商实时流；已安装场景</x:v>
      </x:c>
      <x:c r="H109" s="4" t="str">
        <x:v>1. 记录启停状态和参数
2. 重启目标
3. 登录
4. 回读配置并重播</x:v>
      </x:c>
      <x:c r="I109" s="4" t="str">
        <x:v>保存配置完整；任务恢复符合原开关计划；不重复实例；需要重新登录有清晰状态。</x:v>
      </x:c>
      <x:c r="J109" s="4" t="str">
        <x:v>停止本轮任务；回滚参数和绑定；核对运行实例释放</x:v>
      </x:c>
      <x:c r="K109" s="4" t="str">
        <x:v>步骤观察、实际结果、证据文件与清理核对</x:v>
      </x:c>
      <x:c r="L109" s="4" t="str">
        <x:v>UI主操作＋API只读核对</x:v>
      </x:c>
      <x:c r="M109" s="4" t="str">
        <x:v>发布全量/高影响</x:v>
      </x:c>
      <x:c r="N109" s="4" t="str">
        <x:v>目标设备具备该能力</x:v>
      </x:c>
      <x:c r="O109" s="4" t="str">
        <x:v>src/web/src/views/gam/taskManager/editTask；src/web/src/api/gam.js；test/test_camera_task_param_sync.cc</x:v>
      </x:c>
      <x:c r="P109" s="4" t="str">
        <x:v>未执行</x:v>
      </x:c>
      <x:c r="Q109" s="19" t="str"/>
      <x:c r="R109" s="12" t="str"/>
      <x:c r="S109" s="12" t="str"/>
      <x:c r="T109" s="4" t="n">
        <x:v>1</x:v>
      </x:c>
      <x:c r="U109" s="4" t="str">
        <x:v>DUT；FACE-VIDEO；MODEL-INVENTORY；RECOVERY-KIT</x:v>
      </x:c>
      <x:c r="V109" s="4" t="str">
        <x:v>codex-ui-and-evidence</x:v>
      </x:c>
      <x:c r="W109" s="4" t="str"/>
      <x:c r="X109" s="4" t="str"/>
      <x:c r="Y109" s="4" t="str"/>
      <x:c r="Z109" s="4" t="str"/>
      <x:c r="AA109" s="4" t="str"/>
      <x:c r="AB109" s="4" t="str"/>
      <x:c r="AC109" s="4" t="str"/>
    </x:row>
    <x:row r="110" ht="68" customHeight="1">
      <x:c r="A110" s="17" t="str">
        <x:v>TASK-016</x:v>
      </x:c>
      <x:c r="B110" s="17" t="str">
        <x:v>J04</x:v>
      </x:c>
      <x:c r="C110" s="17" t="str">
        <x:v>任务配置与运行</x:v>
      </x:c>
      <x:c r="D110" s="17" t="str">
        <x:v>P1</x:v>
      </x:c>
      <x:c r="E110" s="17" t="str">
        <x:v>并发编辑与刷新丢更新</x:v>
      </x:c>
      <x:c r="F110" s="17" t="str">
        <x:v>两路以上本轮通道；固定可复现正负样本；两浏览器编辑同任务</x:v>
      </x:c>
      <x:c r="G110" s="17" t="str">
        <x:v>FACE-VIDEO；多厂商实时流；已安装场景</x:v>
      </x:c>
      <x:c r="H110" s="17" t="str">
        <x:v>1. A改阈值B改名称
2. 交错保存
3. 刷新
4. 比较最终运行配置</x:v>
      </x:c>
      <x:c r="I110" s="17" t="str">
        <x:v>最终状态一致可解释；不混合为无效配置；若采用最后写入需在评审中明确接受。</x:v>
      </x:c>
      <x:c r="J110" s="17" t="str">
        <x:v>停止本轮任务；回滚参数和绑定；核对运行实例释放</x:v>
      </x:c>
      <x:c r="K110" s="17" t="str">
        <x:v>步骤观察、实际结果、证据文件与清理核对</x:v>
      </x:c>
      <x:c r="L110" s="17" t="str">
        <x:v>UI主操作＋API只读核对</x:v>
      </x:c>
      <x:c r="M110" s="17" t="str">
        <x:v>受影响模块回归</x:v>
      </x:c>
      <x:c r="N110" s="17" t="str">
        <x:v>目标设备具备该能力</x:v>
      </x:c>
      <x:c r="O110" s="17" t="str">
        <x:v>src/web/src/views/gam/taskManager/editTask；src/web/src/api/gam.js；test/test_camera_task_param_sync.cc</x:v>
      </x:c>
      <x:c r="P110" s="17" t="str">
        <x:v>未执行</x:v>
      </x:c>
      <x:c r="Q110" s="19" t="str"/>
      <x:c r="R110" s="17" t="str"/>
      <x:c r="S110" s="17" t="str"/>
      <x:c r="T110" s="17" t="n">
        <x:v>1</x:v>
      </x:c>
      <x:c r="U110" s="17" t="str">
        <x:v>DUT；FACE-VIDEO；MODEL-INVENTORY</x:v>
      </x:c>
      <x:c r="V110" s="17" t="str">
        <x:v>codex-ui-and-evidence</x:v>
      </x:c>
      <x:c r="W110" s="17" t="str"/>
      <x:c r="X110" s="17" t="str"/>
      <x:c r="Y110" s="17" t="str"/>
      <x:c r="Z110" s="17" t="str"/>
      <x:c r="AA110" s="17" t="str"/>
      <x:c r="AB110" s="17" t="str"/>
      <x:c r="AC110" s="17" t="str"/>
    </x:row>
    <x:row r="111" ht="83" customHeight="1">
      <x:c r="A111" s="4" t="str">
        <x:v>ROI-001</x:v>
      </x:c>
      <x:c r="B111" s="4" t="str">
        <x:v>J04</x:v>
      </x:c>
      <x:c r="C111" s="4" t="str">
        <x:v>区域与空间规则</x:v>
      </x:c>
      <x:c r="D111" s="4" t="str">
        <x:v>P0</x:v>
      </x:c>
      <x:c r="E111" s="4" t="str">
        <x:v>多边形新增移动删除</x:v>
      </x:c>
      <x:c r="F111" s="4" t="str">
        <x:v>固定画面尺寸；先保存原ROI；模板支持相应规则</x:v>
      </x:c>
      <x:c r="G111" s="4" t="str">
        <x:v>标注区域内外、跨线、停留和人数的视频</x:v>
      </x:c>
      <x:c r="H111" s="4" t="str">
        <x:v>1. 抓取背景图
2. 绘制有效检测区
3. 拖动顶点
4. 保存重开
5. 删除重画</x:v>
      </x:c>
      <x:c r="I111" s="4" t="str">
        <x:v>顶点坐标回读一致；框内外样本行为正确；删除的区域不再生效。</x:v>
      </x:c>
      <x:c r="J111" s="4" t="str">
        <x:v>恢复原区域和规则；删除本轮图形</x:v>
      </x:c>
      <x:c r="K111" s="4" t="str">
        <x:v>步骤观察、实际结果、证据文件与清理核对</x:v>
      </x:c>
      <x:c r="L111" s="4" t="str">
        <x:v>UI主操作＋API只读核对</x:v>
      </x:c>
      <x:c r="M111" s="4" t="str">
        <x:v>每次变更冒烟</x:v>
      </x:c>
      <x:c r="N111" s="4" t="str">
        <x:v>目标设备具备该能力</x:v>
      </x:c>
      <x:c r="O111" s="4" t="str">
        <x:v>docs/guide/area-rule-interaction-v1.md；src/web/src/views/gam/taskManager/editTask/areaSetting2.vue</x:v>
      </x:c>
      <x:c r="P111" s="4" t="str">
        <x:v>未执行</x:v>
      </x:c>
      <x:c r="Q111" s="19" t="str"/>
      <x:c r="R111" s="12" t="str"/>
      <x:c r="S111" s="12" t="str"/>
      <x:c r="T111" s="4" t="n">
        <x:v>1</x:v>
      </x:c>
      <x:c r="U111" s="4" t="str">
        <x:v>DUT；FACE-VIDEO</x:v>
      </x:c>
      <x:c r="V111" s="4" t="str">
        <x:v>codex-ui-and-evidence</x:v>
      </x:c>
      <x:c r="W111" s="4" t="str"/>
      <x:c r="X111" s="4" t="str"/>
      <x:c r="Y111" s="4" t="str"/>
      <x:c r="Z111" s="4" t="str"/>
      <x:c r="AA111" s="4" t="str"/>
      <x:c r="AB111" s="4" t="str"/>
      <x:c r="AC111" s="4" t="str"/>
    </x:row>
    <x:row r="112" ht="38" customHeight="1">
      <x:c r="A112" s="17" t="str">
        <x:v>ROI-002</x:v>
      </x:c>
      <x:c r="B112" s="17" t="str">
        <x:v>J04</x:v>
      </x:c>
      <x:c r="C112" s="17" t="str">
        <x:v>区域与空间规则</x:v>
      </x:c>
      <x:c r="D112" s="17" t="str">
        <x:v>P0</x:v>
      </x:c>
      <x:c r="E112" s="17" t="str">
        <x:v>屏蔽区优先与重叠</x:v>
      </x:c>
      <x:c r="F112" s="17" t="str">
        <x:v>固定画面尺寸；先保存原ROI；模板支持相应规则；有检测区和屏蔽区</x:v>
      </x:c>
      <x:c r="G112" s="17" t="str">
        <x:v>标注区域内外、跨线、停留和人数的视频</x:v>
      </x:c>
      <x:c r="H112" s="17" t="str">
        <x:v>1. 在检测区内画屏蔽区
2. 目标依次进入检测区/交叠区/区外</x:v>
      </x:c>
      <x:c r="I112" s="17" t="str">
        <x:v>按节点契约产生/抑制候选；不能仅靠前端叠加判断运行ROI正确。</x:v>
      </x:c>
      <x:c r="J112" s="17" t="str">
        <x:v>恢复原区域和规则；删除本轮图形</x:v>
      </x:c>
      <x:c r="K112" s="17" t="str">
        <x:v>步骤观察、实际结果、证据文件与清理核对</x:v>
      </x:c>
      <x:c r="L112" s="17" t="str">
        <x:v>UI主操作＋API只读核对</x:v>
      </x:c>
      <x:c r="M112" s="17" t="str">
        <x:v>受影响模块回归</x:v>
      </x:c>
      <x:c r="N112" s="17" t="str">
        <x:v>目标设备具备该能力</x:v>
      </x:c>
      <x:c r="O112" s="17" t="str">
        <x:v>docs/guide/area-rule-interaction-v1.md；src/web/src/views/gam/taskManager/editTask/areaSetting2.vue</x:v>
      </x:c>
      <x:c r="P112" s="17" t="str">
        <x:v>未执行</x:v>
      </x:c>
      <x:c r="Q112" s="19" t="str"/>
      <x:c r="R112" s="17" t="str"/>
      <x:c r="S112" s="17" t="str"/>
      <x:c r="T112" s="17" t="n">
        <x:v>1</x:v>
      </x:c>
      <x:c r="U112" s="17" t="str">
        <x:v>DUT；FACE-VIDEO；SCENARIO-TRUTH</x:v>
      </x:c>
      <x:c r="V112" s="17" t="str">
        <x:v>codex-ui-and-evidence</x:v>
      </x:c>
      <x:c r="W112" s="17" t="str"/>
      <x:c r="X112" s="17" t="str"/>
      <x:c r="Y112" s="17" t="str"/>
      <x:c r="Z112" s="17" t="str"/>
      <x:c r="AA112" s="17" t="str"/>
      <x:c r="AB112" s="17" t="str"/>
      <x:c r="AC112" s="17" t="str"/>
    </x:row>
    <x:row r="113" ht="68" customHeight="1">
      <x:c r="A113" s="4" t="str">
        <x:v>ROI-003</x:v>
      </x:c>
      <x:c r="B113" s="4" t="str">
        <x:v>J04</x:v>
      </x:c>
      <x:c r="C113" s="4" t="str">
        <x:v>区域与空间规则</x:v>
      </x:c>
      <x:c r="D113" s="4" t="str">
        <x:v>P1</x:v>
      </x:c>
      <x:c r="E113" s="4" t="str">
        <x:v>缩放分辨率坐标保持</x:v>
      </x:c>
      <x:c r="F113" s="4" t="str">
        <x:v>固定画面尺寸；先保存原ROI；模板支持相应规则；两种分辨率固定输入</x:v>
      </x:c>
      <x:c r="G113" s="4" t="str">
        <x:v>标注区域内外、跨线、停留和人数的视频</x:v>
      </x:c>
      <x:c r="H113" s="4" t="str">
        <x:v>1. 画区域
2. 调浏览器缩放
3. 重新抓图
4. 换分辨率并回读</x:v>
      </x:c>
      <x:c r="I113" s="4" t="str">
        <x:v>归一化/像素映射正确；不越界变形；切流时区域迁移或提示明确。</x:v>
      </x:c>
      <x:c r="J113" s="4" t="str">
        <x:v>恢复原区域和规则；删除本轮图形</x:v>
      </x:c>
      <x:c r="K113" s="4" t="str">
        <x:v>步骤观察、实际结果、证据文件与清理核对</x:v>
      </x:c>
      <x:c r="L113" s="4" t="str">
        <x:v>UI主操作＋API只读核对</x:v>
      </x:c>
      <x:c r="M113" s="4" t="str">
        <x:v>受影响模块回归</x:v>
      </x:c>
      <x:c r="N113" s="4" t="str">
        <x:v>目标设备具备该能力</x:v>
      </x:c>
      <x:c r="O113" s="4" t="str">
        <x:v>docs/guide/area-rule-interaction-v1.md；src/web/src/views/gam/taskManager/editTask/areaSetting2.vue</x:v>
      </x:c>
      <x:c r="P113" s="4" t="str">
        <x:v>未执行</x:v>
      </x:c>
      <x:c r="Q113" s="19" t="str"/>
      <x:c r="R113" s="12" t="str"/>
      <x:c r="S113" s="12" t="str"/>
      <x:c r="T113" s="4" t="n">
        <x:v>1</x:v>
      </x:c>
      <x:c r="U113" s="4" t="str">
        <x:v>DUT；FACE-VIDEO；SCENARIO-TRUTH</x:v>
      </x:c>
      <x:c r="V113" s="4" t="str">
        <x:v>codex-ui-and-evidence</x:v>
      </x:c>
      <x:c r="W113" s="4" t="str"/>
      <x:c r="X113" s="4" t="str"/>
      <x:c r="Y113" s="4" t="str"/>
      <x:c r="Z113" s="4" t="str"/>
      <x:c r="AA113" s="4" t="str"/>
      <x:c r="AB113" s="4" t="str"/>
      <x:c r="AC113" s="4" t="str"/>
    </x:row>
    <x:row r="114" ht="38" customHeight="1">
      <x:c r="A114" s="17" t="str">
        <x:v>ROI-004</x:v>
      </x:c>
      <x:c r="B114" s="17" t="str">
        <x:v>J04</x:v>
      </x:c>
      <x:c r="C114" s="17" t="str">
        <x:v>区域与空间规则</x:v>
      </x:c>
      <x:c r="D114" s="17" t="str">
        <x:v>P1</x:v>
      </x:c>
      <x:c r="E114" s="17" t="str">
        <x:v>无效图形边界</x:v>
      </x:c>
      <x:c r="F114" s="17" t="str">
        <x:v>固定画面尺寸；先保存原ROI；模板支持相应规则</x:v>
      </x:c>
      <x:c r="G114" s="17" t="str">
        <x:v>标注区域内外、跨线、停留和人数的视频</x:v>
      </x:c>
      <x:c r="H114" s="17" t="str">
        <x:v>1. 少点闭合、重复点、极小区、自交、越界和空区域分别保存</x:v>
      </x:c>
      <x:c r="I114" s="17" t="str">
        <x:v>非法形状被校验或行为有明确契约；不会崩溃；空区含义不能猜成全图。</x:v>
      </x:c>
      <x:c r="J114" s="17" t="str">
        <x:v>恢复原区域和规则；删除本轮图形</x:v>
      </x:c>
      <x:c r="K114" s="17" t="str">
        <x:v>步骤观察、实际结果、证据文件与清理核对</x:v>
      </x:c>
      <x:c r="L114" s="17" t="str">
        <x:v>UI主操作＋API只读核对</x:v>
      </x:c>
      <x:c r="M114" s="17" t="str">
        <x:v>受影响模块回归</x:v>
      </x:c>
      <x:c r="N114" s="17" t="str">
        <x:v>目标设备具备该能力</x:v>
      </x:c>
      <x:c r="O114" s="17" t="str">
        <x:v>docs/guide/area-rule-interaction-v1.md；src/web/src/views/gam/taskManager/editTask/areaSetting2.vue</x:v>
      </x:c>
      <x:c r="P114" s="17" t="str">
        <x:v>未执行</x:v>
      </x:c>
      <x:c r="Q114" s="19" t="str"/>
      <x:c r="R114" s="17" t="str"/>
      <x:c r="S114" s="17" t="str"/>
      <x:c r="T114" s="17" t="n">
        <x:v>1</x:v>
      </x:c>
      <x:c r="U114" s="17" t="str">
        <x:v>DUT；FACE-VIDEO</x:v>
      </x:c>
      <x:c r="V114" s="17" t="str">
        <x:v>codex-ui-and-evidence</x:v>
      </x:c>
      <x:c r="W114" s="17" t="str"/>
      <x:c r="X114" s="17" t="str"/>
      <x:c r="Y114" s="17" t="str"/>
      <x:c r="Z114" s="17" t="str"/>
      <x:c r="AA114" s="17" t="str"/>
      <x:c r="AB114" s="17" t="str"/>
      <x:c r="AC114" s="17" t="str"/>
    </x:row>
    <x:row r="115" ht="53" customHeight="1">
      <x:c r="A115" s="4" t="str">
        <x:v>ROI-005</x:v>
      </x:c>
      <x:c r="B115" s="4" t="str">
        <x:v>J04</x:v>
      </x:c>
      <x:c r="C115" s="4" t="str">
        <x:v>区域与空间规则</x:v>
      </x:c>
      <x:c r="D115" s="4" t="str">
        <x:v>P1</x:v>
      </x:c>
      <x:c r="E115" s="4" t="str">
        <x:v>数量条件与旧类型6</x:v>
      </x:c>
      <x:c r="F115" s="4" t="str">
        <x:v>固定画面尺寸；先保存原ROI；模板支持相应规则；人数低于等于高于阈值样本；旧type6配置</x:v>
      </x:c>
      <x:c r="G115" s="4" t="str">
        <x:v>标注区域内外、跨线、停留和人数的视频</x:v>
      </x:c>
      <x:c r="H115" s="4" t="str">
        <x:v>1. 设置数量条件
2. 播三类样本
3. 导入旧type6编辑保存</x:v>
      </x:c>
      <x:c r="I115" s="4" t="str">
        <x:v>比较运算符语义准确；旧6保持6；不被静默重写成0。</x:v>
      </x:c>
      <x:c r="J115" s="4" t="str">
        <x:v>恢复原区域和规则；删除本轮图形</x:v>
      </x:c>
      <x:c r="K115" s="4" t="str">
        <x:v>步骤观察、实际结果、证据文件与清理核对</x:v>
      </x:c>
      <x:c r="L115" s="4" t="str">
        <x:v>UI主操作＋API只读核对</x:v>
      </x:c>
      <x:c r="M115" s="4" t="str">
        <x:v>受影响模块回归</x:v>
      </x:c>
      <x:c r="N115" s="4" t="str">
        <x:v>目标设备具备该能力</x:v>
      </x:c>
      <x:c r="O115" s="4" t="str">
        <x:v>docs/guide/area-rule-interaction-v1.md；src/web/src/views/gam/taskManager/editTask/areaSetting2.vue</x:v>
      </x:c>
      <x:c r="P115" s="4" t="str">
        <x:v>未执行</x:v>
      </x:c>
      <x:c r="Q115" s="19" t="str"/>
      <x:c r="R115" s="12" t="str"/>
      <x:c r="S115" s="12" t="str"/>
      <x:c r="T115" s="4" t="n">
        <x:v>1</x:v>
      </x:c>
      <x:c r="U115" s="4" t="str">
        <x:v>DUT；FACE-VIDEO；SCENARIO-TRUTH</x:v>
      </x:c>
      <x:c r="V115" s="4" t="str">
        <x:v>codex-ui-and-evidence</x:v>
      </x:c>
      <x:c r="W115" s="4" t="str"/>
      <x:c r="X115" s="4" t="str"/>
      <x:c r="Y115" s="4" t="str"/>
      <x:c r="Z115" s="4" t="str"/>
      <x:c r="AA115" s="4" t="str"/>
      <x:c r="AB115" s="4" t="str"/>
      <x:c r="AC115" s="4" t="str"/>
    </x:row>
    <x:row r="116" ht="53" customHeight="1">
      <x:c r="A116" s="17" t="str">
        <x:v>ROI-006</x:v>
      </x:c>
      <x:c r="B116" s="17" t="str">
        <x:v>J04</x:v>
      </x:c>
      <x:c r="C116" s="17" t="str">
        <x:v>区域与空间规则</x:v>
      </x:c>
      <x:c r="D116" s="17" t="str">
        <x:v>P0</x:v>
      </x:c>
      <x:c r="E116" s="17" t="str">
        <x:v>数量统计与进出流量</x:v>
      </x:c>
      <x:c r="F116" s="17" t="str">
        <x:v>固定画面尺寸；先保存原ROI；模板支持相应规则；有双向标注轨迹</x:v>
      </x:c>
      <x:c r="G116" s="17" t="str">
        <x:v>标注区域内外、跨线、停留和人数的视频</x:v>
      </x:c>
      <x:c r="H116" s="17" t="str">
        <x:v>1. 切换数量统计和进出流量
2. 跑固定轨迹
3. 查询统计</x:v>
      </x:c>
      <x:c r="I116" s="17" t="str">
        <x:v>分别使用type1下的0与103分支；周期内人数与累计进出不混用；目标ID去重。</x:v>
      </x:c>
      <x:c r="J116" s="17" t="str">
        <x:v>恢复原区域和规则；删除本轮图形</x:v>
      </x:c>
      <x:c r="K116" s="17" t="str">
        <x:v>步骤观察、实际结果、证据文件与清理核对</x:v>
      </x:c>
      <x:c r="L116" s="17" t="str">
        <x:v>UI主操作＋API只读核对</x:v>
      </x:c>
      <x:c r="M116" s="17" t="str">
        <x:v>受影响模块回归</x:v>
      </x:c>
      <x:c r="N116" s="17" t="str">
        <x:v>目标设备具备该能力</x:v>
      </x:c>
      <x:c r="O116" s="17" t="str">
        <x:v>docs/guide/area-rule-interaction-v1.md；src/web/src/views/gam/taskManager/editTask/areaSetting2.vue</x:v>
      </x:c>
      <x:c r="P116" s="17" t="str">
        <x:v>未执行</x:v>
      </x:c>
      <x:c r="Q116" s="19" t="str"/>
      <x:c r="R116" s="17" t="str"/>
      <x:c r="S116" s="17" t="str"/>
      <x:c r="T116" s="17" t="n">
        <x:v>1</x:v>
      </x:c>
      <x:c r="U116" s="17" t="str">
        <x:v>DUT；FACE-VIDEO；SCENARIO-TRUTH</x:v>
      </x:c>
      <x:c r="V116" s="17" t="str">
        <x:v>codex-ui-and-evidence</x:v>
      </x:c>
      <x:c r="W116" s="17" t="str"/>
      <x:c r="X116" s="17" t="str"/>
      <x:c r="Y116" s="17" t="str"/>
      <x:c r="Z116" s="17" t="str"/>
      <x:c r="AA116" s="17" t="str"/>
      <x:c r="AB116" s="17" t="str"/>
      <x:c r="AC116" s="17" t="str"/>
    </x:row>
    <x:row r="117" ht="53" customHeight="1">
      <x:c r="A117" s="4" t="str">
        <x:v>ROI-007</x:v>
      </x:c>
      <x:c r="B117" s="4" t="str">
        <x:v>J04</x:v>
      </x:c>
      <x:c r="C117" s="4" t="str">
        <x:v>区域与空间规则</x:v>
      </x:c>
      <x:c r="D117" s="4" t="str">
        <x:v>P0</x:v>
      </x:c>
      <x:c r="E117" s="4" t="str">
        <x:v>越线方向和重复跨线</x:v>
      </x:c>
      <x:c r="F117" s="4" t="str">
        <x:v>固定画面尺寸；先保存原ROI；模板支持相应规则；A到B、B到A、徘徊轨迹</x:v>
      </x:c>
      <x:c r="G117" s="4" t="str">
        <x:v>标注区域内外、跨线、停留和人数的视频</x:v>
      </x:c>
      <x:c r="H117" s="4" t="str">
        <x:v>1. 画线并设方向
2. 播双向轨迹
3. 播沿线与重复跨越</x:v>
      </x:c>
      <x:c r="I117" s="4" t="str">
        <x:v>只按配置方向触发；徘徊和跨越去重符合设定；不能以截图代替时序验证。</x:v>
      </x:c>
      <x:c r="J117" s="4" t="str">
        <x:v>恢复原区域和规则；删除本轮图形</x:v>
      </x:c>
      <x:c r="K117" s="4" t="str">
        <x:v>步骤观察、实际结果、证据文件与清理核对</x:v>
      </x:c>
      <x:c r="L117" s="4" t="str">
        <x:v>UI主操作＋API只读核对</x:v>
      </x:c>
      <x:c r="M117" s="4" t="str">
        <x:v>受影响模块回归</x:v>
      </x:c>
      <x:c r="N117" s="4" t="str">
        <x:v>目标设备具备该能力</x:v>
      </x:c>
      <x:c r="O117" s="4" t="str">
        <x:v>docs/guide/area-rule-interaction-v1.md；src/web/src/views/gam/taskManager/editTask/areaSetting2.vue</x:v>
      </x:c>
      <x:c r="P117" s="4" t="str">
        <x:v>未执行</x:v>
      </x:c>
      <x:c r="Q117" s="19" t="str"/>
      <x:c r="R117" s="12" t="str"/>
      <x:c r="S117" s="12" t="str"/>
      <x:c r="T117" s="4" t="n">
        <x:v>1</x:v>
      </x:c>
      <x:c r="U117" s="4" t="str">
        <x:v>DUT；FACE-VIDEO；SCENARIO-TRUTH</x:v>
      </x:c>
      <x:c r="V117" s="4" t="str">
        <x:v>codex-ui-and-evidence</x:v>
      </x:c>
      <x:c r="W117" s="4" t="str"/>
      <x:c r="X117" s="4" t="str"/>
      <x:c r="Y117" s="4" t="str"/>
      <x:c r="Z117" s="4" t="str"/>
      <x:c r="AA117" s="4" t="str"/>
      <x:c r="AB117" s="4" t="str"/>
      <x:c r="AC117" s="4" t="str"/>
    </x:row>
    <x:row r="118" ht="38" customHeight="1">
      <x:c r="A118" s="17" t="str">
        <x:v>ROI-008</x:v>
      </x:c>
      <x:c r="B118" s="17" t="str">
        <x:v>J04</x:v>
      </x:c>
      <x:c r="C118" s="17" t="str">
        <x:v>区域与空间规则</x:v>
      </x:c>
      <x:c r="D118" s="17" t="str">
        <x:v>P1</x:v>
      </x:c>
      <x:c r="E118" s="17" t="str">
        <x:v>停留和垂直异常</x:v>
      </x:c>
      <x:c r="F118" s="17" t="str">
        <x:v>固定画面尺寸；先保存原ROI；模板支持相应规则；标注时长及垂直运动片段</x:v>
      </x:c>
      <x:c r="G118" s="17" t="str">
        <x:v>标注区域内外、跨线、停留和人数的视频</x:v>
      </x:c>
      <x:c r="H118" s="17" t="str">
        <x:v>1. 分别配置type4停留与type3垂直异常
2. 输入边界片段</x:v>
      </x:c>
      <x:c r="I118" s="17" t="str">
        <x:v>对应规则各自验证；持续时间状态不被其他目标或区域污染。</x:v>
      </x:c>
      <x:c r="J118" s="17" t="str">
        <x:v>恢复原区域和规则；删除本轮图形</x:v>
      </x:c>
      <x:c r="K118" s="17" t="str">
        <x:v>步骤观察、实际结果、证据文件与清理核对</x:v>
      </x:c>
      <x:c r="L118" s="17" t="str">
        <x:v>UI主操作＋API只读核对</x:v>
      </x:c>
      <x:c r="M118" s="17" t="str">
        <x:v>受影响模块回归</x:v>
      </x:c>
      <x:c r="N118" s="17" t="str">
        <x:v>目标设备具备该能力</x:v>
      </x:c>
      <x:c r="O118" s="17" t="str">
        <x:v>docs/guide/area-rule-interaction-v1.md；src/web/src/views/gam/taskManager/editTask/areaSetting2.vue</x:v>
      </x:c>
      <x:c r="P118" s="17" t="str">
        <x:v>未执行</x:v>
      </x:c>
      <x:c r="Q118" s="19" t="str"/>
      <x:c r="R118" s="17" t="str"/>
      <x:c r="S118" s="17" t="str"/>
      <x:c r="T118" s="17" t="n">
        <x:v>1</x:v>
      </x:c>
      <x:c r="U118" s="17" t="str">
        <x:v>DUT；FACE-VIDEO；SCENARIO-TRUTH</x:v>
      </x:c>
      <x:c r="V118" s="17" t="str">
        <x:v>codex-ui-and-evidence</x:v>
      </x:c>
      <x:c r="W118" s="17" t="str"/>
      <x:c r="X118" s="17" t="str"/>
      <x:c r="Y118" s="17" t="str"/>
      <x:c r="Z118" s="17" t="str"/>
      <x:c r="AA118" s="17" t="str"/>
      <x:c r="AB118" s="17" t="str"/>
      <x:c r="AC118" s="17" t="str"/>
    </x:row>
    <x:row r="119" ht="53" customHeight="1">
      <x:c r="A119" s="4" t="str">
        <x:v>ROI-009</x:v>
      </x:c>
      <x:c r="B119" s="4" t="str">
        <x:v>J04</x:v>
      </x:c>
      <x:c r="C119" s="4" t="str">
        <x:v>区域与空间规则</x:v>
      </x:c>
      <x:c r="D119" s="4" t="str">
        <x:v>P1</x:v>
      </x:c>
      <x:c r="E119" s="4" t="str">
        <x:v>区域存在目标与上报过滤</x:v>
      </x:c>
      <x:c r="F119" s="4" t="str">
        <x:v>固定画面尺寸；先保存原ROI；模板支持相应规则；type5及下游事件节点</x:v>
      </x:c>
      <x:c r="G119" s="4" t="str">
        <x:v>标注区域内外、跨线、停留和人数的视频</x:v>
      </x:c>
      <x:c r="H119" s="4" t="str">
        <x:v>1. 触发区域候选
2. 修改下游过滤
3. 重新输入相同样本</x:v>
      </x:c>
      <x:c r="I119" s="4" t="str">
        <x:v>区域候选不等于最终告警；最终事件由下游规则决定且可追溯。</x:v>
      </x:c>
      <x:c r="J119" s="4" t="str">
        <x:v>恢复原区域和规则；删除本轮图形</x:v>
      </x:c>
      <x:c r="K119" s="4" t="str">
        <x:v>步骤观察、实际结果、证据文件与清理核对</x:v>
      </x:c>
      <x:c r="L119" s="4" t="str">
        <x:v>UI主操作＋API只读核对</x:v>
      </x:c>
      <x:c r="M119" s="4" t="str">
        <x:v>受影响模块回归</x:v>
      </x:c>
      <x:c r="N119" s="4" t="str">
        <x:v>目标设备具备该能力</x:v>
      </x:c>
      <x:c r="O119" s="4" t="str">
        <x:v>docs/guide/area-rule-interaction-v1.md；src/web/src/views/gam/taskManager/editTask/areaSetting2.vue</x:v>
      </x:c>
      <x:c r="P119" s="4" t="str">
        <x:v>未执行</x:v>
      </x:c>
      <x:c r="Q119" s="19" t="str"/>
      <x:c r="R119" s="12" t="str"/>
      <x:c r="S119" s="12" t="str"/>
      <x:c r="T119" s="4" t="n">
        <x:v>1</x:v>
      </x:c>
      <x:c r="U119" s="4" t="str">
        <x:v>DUT；FACE-VIDEO；SCENARIO-TRUTH</x:v>
      </x:c>
      <x:c r="V119" s="4" t="str">
        <x:v>codex-ui-and-evidence</x:v>
      </x:c>
      <x:c r="W119" s="4" t="str"/>
      <x:c r="X119" s="4" t="str"/>
      <x:c r="Y119" s="4" t="str"/>
      <x:c r="Z119" s="4" t="str"/>
      <x:c r="AA119" s="4" t="str"/>
      <x:c r="AB119" s="4" t="str"/>
      <x:c r="AC119" s="4" t="str"/>
    </x:row>
    <x:row r="120" ht="53" customHeight="1">
      <x:c r="A120" s="17" t="str">
        <x:v>ROI-010</x:v>
      </x:c>
      <x:c r="B120" s="17" t="str">
        <x:v>J04</x:v>
      </x:c>
      <x:c r="C120" s="17" t="str">
        <x:v>区域与空间规则</x:v>
      </x:c>
      <x:c r="D120" s="17" t="str">
        <x:v>P0</x:v>
      </x:c>
      <x:c r="E120" s="17" t="str">
        <x:v>未知枚举保护与字段保留</x:v>
      </x:c>
      <x:c r="F120" s="17" t="str">
        <x:v>固定画面尺寸；先保存原ROI；模板支持相应规则；隔离旧配置含未知规则枚举</x:v>
      </x:c>
      <x:c r="G120" s="17" t="str">
        <x:v>标注区域内外、跨线、停留和人数的视频</x:v>
      </x:c>
      <x:c r="H120" s="17" t="str">
        <x:v>1. 导入后打开区域页
2. 尝试普通保存
3. 对比未知及非当前规则字段</x:v>
      </x:c>
      <x:c r="I120" s="17" t="str">
        <x:v>未知枚举进入保护状态；不静默写默认值；隐藏字段无损。</x:v>
      </x:c>
      <x:c r="J120" s="17" t="str">
        <x:v>恢复原区域和规则；删除本轮图形</x:v>
      </x:c>
      <x:c r="K120" s="17" t="str">
        <x:v>步骤观察、实际结果、证据文件与清理核对</x:v>
      </x:c>
      <x:c r="L120" s="17" t="str">
        <x:v>UI主操作＋API只读核对</x:v>
      </x:c>
      <x:c r="M120" s="17" t="str">
        <x:v>受影响模块回归</x:v>
      </x:c>
      <x:c r="N120" s="17" t="str">
        <x:v>目标设备具备该能力</x:v>
      </x:c>
      <x:c r="O120" s="17" t="str">
        <x:v>docs/guide/area-rule-interaction-v1.md；src/web/src/views/gam/taskManager/editTask/areaSetting2.vue</x:v>
      </x:c>
      <x:c r="P120" s="17" t="str">
        <x:v>未执行</x:v>
      </x:c>
      <x:c r="Q120" s="19" t="str"/>
      <x:c r="R120" s="17" t="str"/>
      <x:c r="S120" s="17" t="str"/>
      <x:c r="T120" s="17" t="n">
        <x:v>1</x:v>
      </x:c>
      <x:c r="U120" s="17" t="str">
        <x:v>DUT；FACE-VIDEO</x:v>
      </x:c>
      <x:c r="V120" s="17" t="str">
        <x:v>codex-ui-and-evidence</x:v>
      </x:c>
      <x:c r="W120" s="17" t="str"/>
      <x:c r="X120" s="17" t="str"/>
      <x:c r="Y120" s="17" t="str"/>
      <x:c r="Z120" s="17" t="str"/>
      <x:c r="AA120" s="17" t="str"/>
      <x:c r="AB120" s="17" t="str"/>
      <x:c r="AC120" s="17" t="str"/>
    </x:row>
    <x:row r="121" ht="83" customHeight="1">
      <x:c r="A121" s="4" t="str">
        <x:v>FACE-001</x:v>
      </x:c>
      <x:c r="B121" s="4" t="str">
        <x:v>J05</x:v>
      </x:c>
      <x:c r="C121" s="4" t="str">
        <x:v>人脸底库与识别</x:v>
      </x:c>
      <x:c r="D121" s="4" t="str">
        <x:v>P0</x:v>
      </x:c>
      <x:c r="E121" s="4" t="str">
        <x:v>人脸分组新增编辑查询删除</x:v>
      </x:c>
      <x:c r="F121" s="4" t="str">
        <x:v>本轮人脸库；目标人脸检测关键点特征模型可用</x:v>
      </x:c>
      <x:c r="G121" s="4" t="str">
        <x:v>FACE-ZIP（441个JPG条目）；FACE-VIDEO；身份真值待补</x:v>
      </x:c>
      <x:c r="H121" s="4" t="str">
        <x:v>1. 新建分组
2. 修改名称
3. 查询筛选
4. 取消删除
5. 删空分组</x:v>
      </x:c>
      <x:c r="I121" s="4" t="str">
        <x:v>分组ID稳定且名称回读；取消不变；空名和非法输入按规则拒绝。</x:v>
      </x:c>
      <x:c r="J121" s="4" t="str">
        <x:v>解除任务引用；删除本轮样本和分组；恢复停止前任务状态</x:v>
      </x:c>
      <x:c r="K121" s="4" t="str">
        <x:v>步骤观察、实际结果、证据文件与清理核对</x:v>
      </x:c>
      <x:c r="L121" s="4" t="str">
        <x:v>UI主操作＋API只读核对</x:v>
      </x:c>
      <x:c r="M121" s="4" t="str">
        <x:v>受影响模块回归</x:v>
      </x:c>
      <x:c r="N121" s="4" t="str">
        <x:v>目标设备具备该能力</x:v>
      </x:c>
      <x:c r="O121" s="4" t="str">
        <x:v>src/web/src/views/box/basePicManagement/people；docs/guide/image-analysis.md；src/web/src/i18n/locales/zh-CN.js</x:v>
      </x:c>
      <x:c r="P121" s="4" t="str">
        <x:v>未执行</x:v>
      </x:c>
      <x:c r="Q121" s="19" t="str"/>
      <x:c r="R121" s="12" t="str"/>
      <x:c r="S121" s="12" t="str"/>
      <x:c r="T121" s="4" t="n">
        <x:v>1</x:v>
      </x:c>
      <x:c r="U121" s="4" t="str">
        <x:v>DUT；FACE-ZIP</x:v>
      </x:c>
      <x:c r="V121" s="4" t="str">
        <x:v>codex-ui-and-evidence</x:v>
      </x:c>
      <x:c r="W121" s="4" t="str"/>
      <x:c r="X121" s="4" t="str"/>
      <x:c r="Y121" s="4" t="str"/>
      <x:c r="Z121" s="4" t="str"/>
      <x:c r="AA121" s="4" t="str"/>
      <x:c r="AB121" s="4" t="str"/>
      <x:c r="AC121" s="4" t="str"/>
    </x:row>
    <x:row r="122" ht="68" customHeight="1">
      <x:c r="A122" s="17" t="str">
        <x:v>FACE-002</x:v>
      </x:c>
      <x:c r="B122" s="17" t="str">
        <x:v>J05</x:v>
      </x:c>
      <x:c r="C122" s="17" t="str">
        <x:v>人脸底库与识别</x:v>
      </x:c>
      <x:c r="D122" s="17" t="str">
        <x:v>P0</x:v>
      </x:c>
      <x:c r="E122" s="17" t="str">
        <x:v>单人单图入库并比对</x:v>
      </x:c>
      <x:c r="F122" s="17" t="str">
        <x:v>本轮人脸库；目标人脸检测关键点特征模型可用；已标注有效单脸匿名图片</x:v>
      </x:c>
      <x:c r="G122" s="17" t="str">
        <x:v>FACE-ZIP（441个JPG条目）；FACE-VIDEO；身份真值待补</x:v>
      </x:c>
      <x:c r="H122" s="17" t="str">
        <x:v>1. 新增人员及图片
2. 保存
3. 查看缩略图
4. 用该人另一张图比对</x:v>
      </x:c>
      <x:c r="I122" s="17" t="str">
        <x:v>特征有效且身份对应；显示缩略图不是成功比对证据；结果含正确分组样本和分数。</x:v>
      </x:c>
      <x:c r="J122" s="17" t="str">
        <x:v>解除任务引用；删除本轮样本和分组；恢复停止前任务状态</x:v>
      </x:c>
      <x:c r="K122" s="17" t="str">
        <x:v>步骤观察、实际结果、证据文件与清理核对</x:v>
      </x:c>
      <x:c r="L122" s="17" t="str">
        <x:v>UI主操作＋API只读核对</x:v>
      </x:c>
      <x:c r="M122" s="17" t="str">
        <x:v>每次变更冒烟</x:v>
      </x:c>
      <x:c r="N122" s="17" t="str">
        <x:v>目标设备具备该能力</x:v>
      </x:c>
      <x:c r="O122" s="17" t="str">
        <x:v>src/web/src/views/box/basePicManagement/people；docs/guide/image-analysis.md；src/web/src/i18n/locales/zh-CN.js</x:v>
      </x:c>
      <x:c r="P122" s="17" t="str">
        <x:v>未执行</x:v>
      </x:c>
      <x:c r="Q122" s="19" t="str"/>
      <x:c r="R122" s="17" t="str"/>
      <x:c r="S122" s="17" t="str"/>
      <x:c r="T122" s="17" t="n">
        <x:v>1</x:v>
      </x:c>
      <x:c r="U122" s="17" t="str">
        <x:v>DUT；FACE-ZIP</x:v>
      </x:c>
      <x:c r="V122" s="17" t="str">
        <x:v>codex-ui-and-evidence</x:v>
      </x:c>
      <x:c r="W122" s="17" t="str"/>
      <x:c r="X122" s="17" t="str"/>
      <x:c r="Y122" s="17" t="str"/>
      <x:c r="Z122" s="17" t="str"/>
      <x:c r="AA122" s="17" t="str"/>
      <x:c r="AB122" s="17" t="str"/>
      <x:c r="AC122" s="17" t="str"/>
    </x:row>
    <x:row r="123" ht="83" customHeight="1">
      <x:c r="A123" s="4" t="str">
        <x:v>FACE-003</x:v>
      </x:c>
      <x:c r="B123" s="4" t="str">
        <x:v>J05</x:v>
      </x:c>
      <x:c r="C123" s="4" t="str">
        <x:v>人脸底库与识别</x:v>
      </x:c>
      <x:c r="D123" s="4" t="str">
        <x:v>P0</x:v>
      </x:c>
      <x:c r="E123" s="4" t="str">
        <x:v>ZIP 小批与全量导入</x:v>
      </x:c>
      <x:c r="F123" s="4" t="str">
        <x:v>本轮人脸库；目标人脸检测关键点特征模型可用；先从原包准备匿名10图副本，随后441条目清单；不改原包</x:v>
      </x:c>
      <x:c r="G123" s="4" t="str">
        <x:v>FACE-ZIP（441个JPG条目）；FACE-VIDEO；身份真值待补</x:v>
      </x:c>
      <x:c r="H123" s="4" t="str">
        <x:v>1. 选择分组点批量导入
2. 上传ZIP
3. 确认服务停止提示
4. 等待完成
5. 核对数量</x:v>
      </x:c>
      <x:c r="I123" s="4" t="str">
        <x:v>成功+失败=已处理=总处理条目；可查每项结果；441是文件条目数而非保证441个人；完成后服务恢复。</x:v>
      </x:c>
      <x:c r="J123" s="4" t="str">
        <x:v>解除任务引用；删除本轮样本和分组；恢复停止前任务状态</x:v>
      </x:c>
      <x:c r="K123" s="4" t="str">
        <x:v>步骤观察、实际结果、证据文件与清理核对</x:v>
      </x:c>
      <x:c r="L123" s="4" t="str">
        <x:v>UI主操作＋API只读核对</x:v>
      </x:c>
      <x:c r="M123" s="4" t="str">
        <x:v>受影响模块回归</x:v>
      </x:c>
      <x:c r="N123" s="4" t="str">
        <x:v>目标设备具备该能力</x:v>
      </x:c>
      <x:c r="O123" s="4" t="str">
        <x:v>src/web/src/views/box/basePicManagement/people；docs/guide/image-analysis.md；src/web/src/i18n/locales/zh-CN.js</x:v>
      </x:c>
      <x:c r="P123" s="4" t="str">
        <x:v>未执行</x:v>
      </x:c>
      <x:c r="Q123" s="19" t="str"/>
      <x:c r="R123" s="12" t="str"/>
      <x:c r="S123" s="12" t="str"/>
      <x:c r="T123" s="4" t="n">
        <x:v>1</x:v>
      </x:c>
      <x:c r="U123" s="4" t="str">
        <x:v>DUT；FACE-ZIP</x:v>
      </x:c>
      <x:c r="V123" s="4" t="str">
        <x:v>codex-ui-and-evidence</x:v>
      </x:c>
      <x:c r="W123" s="4" t="str"/>
      <x:c r="X123" s="4" t="str"/>
      <x:c r="Y123" s="4" t="str"/>
      <x:c r="Z123" s="4" t="str"/>
      <x:c r="AA123" s="4" t="str"/>
      <x:c r="AB123" s="4" t="str"/>
      <x:c r="AC123" s="4" t="str"/>
    </x:row>
    <x:row r="124" ht="83" customHeight="1">
      <x:c r="A124" s="17" t="str">
        <x:v>FACE-004</x:v>
      </x:c>
      <x:c r="B124" s="17" t="str">
        <x:v>J05</x:v>
      </x:c>
      <x:c r="C124" s="17" t="str">
        <x:v>人脸底库与识别</x:v>
      </x:c>
      <x:c r="D124" s="17" t="str">
        <x:v>P0</x:v>
      </x:c>
      <x:c r="E124" s="17" t="str">
        <x:v>批量导入停止提示与取消</x:v>
      </x:c>
      <x:c r="F124" s="17" t="str">
        <x:v>本轮人脸库；目标人脸检测关键点特征模型可用；已有本轮运行任务</x:v>
      </x:c>
      <x:c r="G124" s="17" t="str">
        <x:v>FACE-ZIP（441个JPG条目）；FACE-VIDEO；身份真值待补</x:v>
      </x:c>
      <x:c r="H124" s="17" t="str">
        <x:v>1. 上传到确认提示
2. 点取消
3. 观察任务
4. 再确认导入
5. 完成后核对运行状态</x:v>
      </x:c>
      <x:c r="I124" s="17" t="str">
        <x:v>取消不停止服务；确认后的影响与提示一致；完成/失败都能明确恢复，不能遗留无声停服。</x:v>
      </x:c>
      <x:c r="J124" s="17" t="str">
        <x:v>解除任务引用；删除本轮样本和分组；恢复停止前任务状态</x:v>
      </x:c>
      <x:c r="K124" s="17" t="str">
        <x:v>步骤观察、实际结果、证据文件与清理核对</x:v>
      </x:c>
      <x:c r="L124" s="17" t="str">
        <x:v>UI主操作＋API只读核对</x:v>
      </x:c>
      <x:c r="M124" s="17" t="str">
        <x:v>受影响模块回归</x:v>
      </x:c>
      <x:c r="N124" s="17" t="str">
        <x:v>目标设备具备该能力</x:v>
      </x:c>
      <x:c r="O124" s="17" t="str">
        <x:v>src/web/src/views/box/basePicManagement/people；docs/guide/image-analysis.md；src/web/src/i18n/locales/zh-CN.js</x:v>
      </x:c>
      <x:c r="P124" s="17" t="str">
        <x:v>未执行</x:v>
      </x:c>
      <x:c r="Q124" s="19" t="str"/>
      <x:c r="R124" s="17" t="str"/>
      <x:c r="S124" s="17" t="str"/>
      <x:c r="T124" s="17" t="n">
        <x:v>1</x:v>
      </x:c>
      <x:c r="U124" s="17" t="str">
        <x:v>DUT；FACE-ZIP</x:v>
      </x:c>
      <x:c r="V124" s="17" t="str">
        <x:v>codex-ui-and-evidence</x:v>
      </x:c>
      <x:c r="W124" s="17" t="str"/>
      <x:c r="X124" s="17" t="str"/>
      <x:c r="Y124" s="17" t="str"/>
      <x:c r="Z124" s="17" t="str"/>
      <x:c r="AA124" s="17" t="str"/>
      <x:c r="AB124" s="17" t="str"/>
      <x:c r="AC124" s="17" t="str"/>
    </x:row>
    <x:row r="125" ht="53" customHeight="1">
      <x:c r="A125" s="4" t="str">
        <x:v>FACE-005</x:v>
      </x:c>
      <x:c r="B125" s="4" t="str">
        <x:v>J05</x:v>
      </x:c>
      <x:c r="C125" s="4" t="str">
        <x:v>人脸底库与识别</x:v>
      </x:c>
      <x:c r="D125" s="4" t="str">
        <x:v>P1</x:v>
      </x:c>
      <x:c r="E125" s="4" t="str">
        <x:v>重复人员和重复图片</x:v>
      </x:c>
      <x:c r="F125" s="4" t="str">
        <x:v>本轮人脸库；目标人脸检测关键点特征模型可用；同名同图、同名异图、异名同图副本</x:v>
      </x:c>
      <x:c r="G125" s="4" t="str">
        <x:v>FACE-ZIP（441个JPG条目）；FACE-VIDEO；身份真值待补</x:v>
      </x:c>
      <x:c r="H125" s="4" t="str">
        <x:v>1. 依次入库
2. 查询人员数和图片数
3. 重复导入原小包</x:v>
      </x:c>
      <x:c r="I125" s="4" t="str">
        <x:v>覆盖/追加/拒绝规则明确；计数无异常膨胀；不得把重复导入当新增成功而不说明。</x:v>
      </x:c>
      <x:c r="J125" s="4" t="str">
        <x:v>解除任务引用；删除本轮样本和分组；恢复停止前任务状态</x:v>
      </x:c>
      <x:c r="K125" s="4" t="str">
        <x:v>步骤观察、实际结果、证据文件与清理核对</x:v>
      </x:c>
      <x:c r="L125" s="4" t="str">
        <x:v>UI主操作＋API只读核对</x:v>
      </x:c>
      <x:c r="M125" s="4" t="str">
        <x:v>受影响模块回归</x:v>
      </x:c>
      <x:c r="N125" s="4" t="str">
        <x:v>目标设备具备该能力</x:v>
      </x:c>
      <x:c r="O125" s="4" t="str">
        <x:v>src/web/src/views/box/basePicManagement/people；docs/guide/image-analysis.md；src/web/src/i18n/locales/zh-CN.js</x:v>
      </x:c>
      <x:c r="P125" s="4" t="str">
        <x:v>未执行</x:v>
      </x:c>
      <x:c r="Q125" s="19" t="str"/>
      <x:c r="R125" s="12" t="str"/>
      <x:c r="S125" s="12" t="str"/>
      <x:c r="T125" s="4" t="n">
        <x:v>1</x:v>
      </x:c>
      <x:c r="U125" s="4" t="str">
        <x:v>DUT；FACE-ZIP</x:v>
      </x:c>
      <x:c r="V125" s="4" t="str">
        <x:v>codex-ui-and-evidence</x:v>
      </x:c>
      <x:c r="W125" s="4" t="str"/>
      <x:c r="X125" s="4" t="str"/>
      <x:c r="Y125" s="4" t="str"/>
      <x:c r="Z125" s="4" t="str"/>
      <x:c r="AA125" s="4" t="str"/>
      <x:c r="AB125" s="4" t="str"/>
      <x:c r="AC125" s="4" t="str"/>
    </x:row>
    <x:row r="126" ht="68" customHeight="1">
      <x:c r="A126" s="17" t="str">
        <x:v>FACE-006</x:v>
      </x:c>
      <x:c r="B126" s="17" t="str">
        <x:v>J05</x:v>
      </x:c>
      <x:c r="C126" s="17" t="str">
        <x:v>人脸底库与识别</x:v>
      </x:c>
      <x:c r="D126" s="17" t="str">
        <x:v>P0</x:v>
      </x:c>
      <x:c r="E126" s="17" t="str">
        <x:v>混合失败包与失败原因导出</x:v>
      </x:c>
      <x:c r="F126" s="17" t="str">
        <x:v>本轮人脸库；目标人脸检测关键点特征模型可用；有效图、无脸、多脸、损坏、错误格式混合包</x:v>
      </x:c>
      <x:c r="G126" s="17" t="str">
        <x:v>FACE-ZIP（441个JPG条目）；FACE-VIDEO；身份真值待补</x:v>
      </x:c>
      <x:c r="H126" s="17" t="str">
        <x:v>1. 批量导入
2. 等待部分成功
3. 导出失败原因
4. 修复失败项重试</x:v>
      </x:c>
      <x:c r="I126" s="17" t="str">
        <x:v>有效项保留；失败项对应文件和原因；重试不重复成功项；导出不泄露系统路径。</x:v>
      </x:c>
      <x:c r="J126" s="17" t="str">
        <x:v>解除任务引用；删除本轮样本和分组；恢复停止前任务状态</x:v>
      </x:c>
      <x:c r="K126" s="17" t="str">
        <x:v>步骤观察、实际结果、证据文件与清理核对</x:v>
      </x:c>
      <x:c r="L126" s="17" t="str">
        <x:v>UI主操作＋API只读核对</x:v>
      </x:c>
      <x:c r="M126" s="17" t="str">
        <x:v>受影响模块回归</x:v>
      </x:c>
      <x:c r="N126" s="17" t="str">
        <x:v>目标设备具备该能力</x:v>
      </x:c>
      <x:c r="O126" s="17" t="str">
        <x:v>src/web/src/views/box/basePicManagement/people；docs/guide/image-analysis.md；src/web/src/i18n/locales/zh-CN.js</x:v>
      </x:c>
      <x:c r="P126" s="17" t="str">
        <x:v>未执行</x:v>
      </x:c>
      <x:c r="Q126" s="19" t="str"/>
      <x:c r="R126" s="17" t="str"/>
      <x:c r="S126" s="17" t="str"/>
      <x:c r="T126" s="17" t="n">
        <x:v>1</x:v>
      </x:c>
      <x:c r="U126" s="17" t="str">
        <x:v>DUT；FACE-ZIP</x:v>
      </x:c>
      <x:c r="V126" s="17" t="str">
        <x:v>codex-ui-and-evidence</x:v>
      </x:c>
      <x:c r="W126" s="17" t="str"/>
      <x:c r="X126" s="17" t="str"/>
      <x:c r="Y126" s="17" t="str"/>
      <x:c r="Z126" s="17" t="str"/>
      <x:c r="AA126" s="17" t="str"/>
      <x:c r="AB126" s="17" t="str"/>
      <x:c r="AC126" s="17" t="str"/>
    </x:row>
    <x:row r="127" ht="53" customHeight="1">
      <x:c r="A127" s="4" t="str">
        <x:v>FACE-007</x:v>
      </x:c>
      <x:c r="B127" s="4" t="str">
        <x:v>J05</x:v>
      </x:c>
      <x:c r="C127" s="4" t="str">
        <x:v>人脸底库与识别</x:v>
      </x:c>
      <x:c r="D127" s="4" t="str">
        <x:v>P1</x:v>
      </x:c>
      <x:c r="E127" s="4" t="str">
        <x:v>中文长文件名与目录结构</x:v>
      </x:c>
      <x:c r="F127" s="4" t="str">
        <x:v>本轮人脸库；目标人脸检测关键点特征模型可用；姓名.png/jpg/jpeg约定；匿名中文及多层目录副本</x:v>
      </x:c>
      <x:c r="G127" s="4" t="str">
        <x:v>FACE-ZIP（441个JPG条目）；FACE-VIDEO；身份真值待补</x:v>
      </x:c>
      <x:c r="H127" s="4" t="str">
        <x:v>1. 导入合法命名
2. 测空名超长名同名跨目录
3. 查询姓名显示</x:v>
      </x:c>
      <x:c r="I127" s="4" t="str">
        <x:v>按实际导入契约处理路径与命名；编码不乱码；不把目录名误当身份。</x:v>
      </x:c>
      <x:c r="J127" s="4" t="str">
        <x:v>解除任务引用；删除本轮样本和分组；恢复停止前任务状态</x:v>
      </x:c>
      <x:c r="K127" s="4" t="str">
        <x:v>步骤观察、实际结果、证据文件与清理核对</x:v>
      </x:c>
      <x:c r="L127" s="4" t="str">
        <x:v>UI主操作＋API只读核对</x:v>
      </x:c>
      <x:c r="M127" s="4" t="str">
        <x:v>受影响模块回归</x:v>
      </x:c>
      <x:c r="N127" s="4" t="str">
        <x:v>目标设备具备该能力</x:v>
      </x:c>
      <x:c r="O127" s="4" t="str">
        <x:v>src/web/src/views/box/basePicManagement/people；docs/guide/image-analysis.md；src/web/src/i18n/locales/zh-CN.js</x:v>
      </x:c>
      <x:c r="P127" s="4" t="str">
        <x:v>未执行</x:v>
      </x:c>
      <x:c r="Q127" s="19" t="str"/>
      <x:c r="R127" s="12" t="str"/>
      <x:c r="S127" s="12" t="str"/>
      <x:c r="T127" s="4" t="n">
        <x:v>1</x:v>
      </x:c>
      <x:c r="U127" s="4" t="str">
        <x:v>DUT；FACE-ZIP</x:v>
      </x:c>
      <x:c r="V127" s="4" t="str">
        <x:v>codex-ui-and-evidence</x:v>
      </x:c>
      <x:c r="W127" s="4" t="str"/>
      <x:c r="X127" s="4" t="str"/>
      <x:c r="Y127" s="4" t="str"/>
      <x:c r="Z127" s="4" t="str"/>
      <x:c r="AA127" s="4" t="str"/>
      <x:c r="AB127" s="4" t="str"/>
      <x:c r="AC127" s="4" t="str"/>
    </x:row>
    <x:row r="128" ht="53" customHeight="1">
      <x:c r="A128" s="17" t="str">
        <x:v>FACE-008</x:v>
      </x:c>
      <x:c r="B128" s="17" t="str">
        <x:v>J05</x:v>
      </x:c>
      <x:c r="C128" s="17" t="str">
        <x:v>人脸底库与识别</x:v>
      </x:c>
      <x:c r="D128" s="17" t="str">
        <x:v>P0</x:v>
      </x:c>
      <x:c r="E128" s="17" t="str">
        <x:v>压缩包安全和资源不足</x:v>
      </x:c>
      <x:c r="F128" s="17" t="str">
        <x:v>本轮人脸库；目标人脸检测关键点特征模型可用；受控小型路径穿越/符号链接/高膨胀比归档及磁盘配额沙箱</x:v>
      </x:c>
      <x:c r="G128" s="17" t="str">
        <x:v>FACE-ZIP（441个JPG条目）；FACE-VIDEO；身份真值待补</x:v>
      </x:c>
      <x:c r="H128" s="17" t="str">
        <x:v>1. 逐项导入
2. 检查拒绝信息和私有暂存
3. 再导入正常包</x:v>
      </x:c>
      <x:c r="I128" s="17" t="str">
        <x:v>不写出目标目录；资源有界且失败可清理；正常库不损坏；不在实机填满磁盘。</x:v>
      </x:c>
      <x:c r="J128" s="17" t="str">
        <x:v>解除任务引用；删除本轮样本和分组；恢复停止前任务状态</x:v>
      </x:c>
      <x:c r="K128" s="17" t="str">
        <x:v>步骤观察、实际结果、证据文件与清理核对</x:v>
      </x:c>
      <x:c r="L128" s="17" t="str">
        <x:v>UI主操作＋API只读核对</x:v>
      </x:c>
      <x:c r="M128" s="17" t="str">
        <x:v>受影响模块回归</x:v>
      </x:c>
      <x:c r="N128" s="17" t="str">
        <x:v>目标设备具备该能力</x:v>
      </x:c>
      <x:c r="O128" s="17" t="str">
        <x:v>src/web/src/views/box/basePicManagement/people；docs/guide/image-analysis.md；src/web/src/i18n/locales/zh-CN.js</x:v>
      </x:c>
      <x:c r="P128" s="17" t="str">
        <x:v>未执行</x:v>
      </x:c>
      <x:c r="Q128" s="19" t="str"/>
      <x:c r="R128" s="17" t="str"/>
      <x:c r="S128" s="17" t="str"/>
      <x:c r="T128" s="17" t="n">
        <x:v>1</x:v>
      </x:c>
      <x:c r="U128" s="17" t="str">
        <x:v>DUT；FACE-ZIP</x:v>
      </x:c>
      <x:c r="V128" s="17" t="str">
        <x:v>codex-ui-and-evidence</x:v>
      </x:c>
      <x:c r="W128" s="17" t="str"/>
      <x:c r="X128" s="17" t="str"/>
      <x:c r="Y128" s="17" t="str"/>
      <x:c r="Z128" s="17" t="str"/>
      <x:c r="AA128" s="17" t="str"/>
      <x:c r="AB128" s="17" t="str"/>
      <x:c r="AC128" s="17" t="str"/>
    </x:row>
    <x:row r="129" ht="53" customHeight="1">
      <x:c r="A129" s="4" t="str">
        <x:v>FACE-009</x:v>
      </x:c>
      <x:c r="B129" s="4" t="str">
        <x:v>J05</x:v>
      </x:c>
      <x:c r="C129" s="4" t="str">
        <x:v>人脸底库与识别</x:v>
      </x:c>
      <x:c r="D129" s="4" t="str">
        <x:v>P0</x:v>
      </x:c>
      <x:c r="E129" s="4" t="str">
        <x:v>已知人与陌生人视频识别</x:v>
      </x:c>
      <x:c r="F129" s="4" t="str">
        <x:v>本轮人脸库；目标人脸检测关键点特征模型可用；必须补视频帧到匿名人员ID的人工真值</x:v>
      </x:c>
      <x:c r="G129" s="4" t="str">
        <x:v>FACE-ZIP（441个JPG条目）；FACE-VIDEO；身份真值待补</x:v>
      </x:c>
      <x:c r="H129" s="4" t="str">
        <x:v>1. 绑定库到人脸场景
2. 播已知人和未入库人
3. 查人脸人体事件详情</x:v>
      </x:c>
      <x:c r="I129" s="4" t="str">
        <x:v>已知人匹配正确、陌生人不冒认；错认漏认分别记；没有真值只判抓拍链路，不判识别精度。</x:v>
      </x:c>
      <x:c r="J129" s="4" t="str">
        <x:v>解除任务引用；删除本轮样本和分组；恢复停止前任务状态</x:v>
      </x:c>
      <x:c r="K129" s="4" t="str">
        <x:v>步骤观察、实际结果、证据文件与清理核对</x:v>
      </x:c>
      <x:c r="L129" s="4" t="str">
        <x:v>UI主操作＋API只读核对</x:v>
      </x:c>
      <x:c r="M129" s="4" t="str">
        <x:v>受影响模块回归</x:v>
      </x:c>
      <x:c r="N129" s="4" t="str">
        <x:v>目标设备具备该能力</x:v>
      </x:c>
      <x:c r="O129" s="4" t="str">
        <x:v>src/web/src/views/box/basePicManagement/people；docs/guide/image-analysis.md；src/web/src/i18n/locales/zh-CN.js</x:v>
      </x:c>
      <x:c r="P129" s="4" t="str">
        <x:v>未执行</x:v>
      </x:c>
      <x:c r="Q129" s="19" t="str"/>
      <x:c r="R129" s="12" t="str"/>
      <x:c r="S129" s="12" t="str"/>
      <x:c r="T129" s="4" t="n">
        <x:v>1</x:v>
      </x:c>
      <x:c r="U129" s="4" t="str">
        <x:v>DUT；FACE-ZIP；FACE-TRUTH；FACE-VIDEO</x:v>
      </x:c>
      <x:c r="V129" s="4" t="str">
        <x:v>codex-ui-and-evidence</x:v>
      </x:c>
      <x:c r="W129" s="4" t="str"/>
      <x:c r="X129" s="4" t="str"/>
      <x:c r="Y129" s="4" t="str"/>
      <x:c r="Z129" s="4" t="str"/>
      <x:c r="AA129" s="4" t="str"/>
      <x:c r="AB129" s="4" t="str"/>
      <x:c r="AC129" s="4" t="str"/>
    </x:row>
    <x:row r="130" ht="68" customHeight="1">
      <x:c r="A130" s="17" t="str">
        <x:v>FACE-010</x:v>
      </x:c>
      <x:c r="B130" s="17" t="str">
        <x:v>J05</x:v>
      </x:c>
      <x:c r="C130" s="17" t="str">
        <x:v>人脸底库与识别</x:v>
      </x:c>
      <x:c r="D130" s="17" t="str">
        <x:v>P1</x:v>
      </x:c>
      <x:c r="E130" s="17" t="str">
        <x:v>相似度阈值与多库隔离</x:v>
      </x:c>
      <x:c r="F130" s="17" t="str">
        <x:v>本轮人脸库；目标人脸检测关键点特征模型可用；同人异拍、异人相似外观样本</x:v>
      </x:c>
      <x:c r="G130" s="17" t="str">
        <x:v>FACE-ZIP（441个JPG条目）；FACE-VIDEO；身份真值待补</x:v>
      </x:c>
      <x:c r="H130" s="17" t="str">
        <x:v>1. 只绑库A
2. 阈值两侧运行
3. 改库B
4. A+B运行</x:v>
      </x:c>
      <x:c r="I130" s="17" t="str">
        <x:v>分数与阈值比较正确；不跨未绑定库匹配；相似度不等于身份概率。</x:v>
      </x:c>
      <x:c r="J130" s="17" t="str">
        <x:v>解除任务引用；删除本轮样本和分组；恢复停止前任务状态</x:v>
      </x:c>
      <x:c r="K130" s="17" t="str">
        <x:v>步骤观察、实际结果、证据文件与清理核对</x:v>
      </x:c>
      <x:c r="L130" s="17" t="str">
        <x:v>UI主操作＋API只读核对</x:v>
      </x:c>
      <x:c r="M130" s="17" t="str">
        <x:v>受影响模块回归</x:v>
      </x:c>
      <x:c r="N130" s="17" t="str">
        <x:v>目标设备具备该能力</x:v>
      </x:c>
      <x:c r="O130" s="17" t="str">
        <x:v>src/web/src/views/box/basePicManagement/people；docs/guide/image-analysis.md；src/web/src/i18n/locales/zh-CN.js</x:v>
      </x:c>
      <x:c r="P130" s="17" t="str">
        <x:v>未执行</x:v>
      </x:c>
      <x:c r="Q130" s="19" t="str"/>
      <x:c r="R130" s="17" t="str"/>
      <x:c r="S130" s="17" t="str"/>
      <x:c r="T130" s="17" t="n">
        <x:v>1</x:v>
      </x:c>
      <x:c r="U130" s="17" t="str">
        <x:v>DUT；FACE-ZIP；FACE-TRUTH；FACE-VIDEO</x:v>
      </x:c>
      <x:c r="V130" s="17" t="str">
        <x:v>codex-ui-and-evidence</x:v>
      </x:c>
      <x:c r="W130" s="17" t="str"/>
      <x:c r="X130" s="17" t="str"/>
      <x:c r="Y130" s="17" t="str"/>
      <x:c r="Z130" s="17" t="str"/>
      <x:c r="AA130" s="17" t="str"/>
      <x:c r="AB130" s="17" t="str"/>
      <x:c r="AC130" s="17" t="str"/>
    </x:row>
    <x:row r="131" ht="53" customHeight="1">
      <x:c r="A131" s="4" t="str">
        <x:v>FACE-011</x:v>
      </x:c>
      <x:c r="B131" s="4" t="str">
        <x:v>J05</x:v>
      </x:c>
      <x:c r="C131" s="4" t="str">
        <x:v>人脸底库与识别</x:v>
      </x:c>
      <x:c r="D131" s="4" t="str">
        <x:v>P0</x:v>
      </x:c>
      <x:c r="E131" s="4" t="str">
        <x:v>从事件抓拍入库</x:v>
      </x:c>
      <x:c r="F131" s="4" t="str">
        <x:v>本轮人脸库；目标人脸检测关键点特征模型可用；人脸人体事件有可用截图</x:v>
      </x:c>
      <x:c r="G131" s="4" t="str">
        <x:v>FACE-ZIP（441个JPG条目）；FACE-VIDEO；身份真值待补</x:v>
      </x:c>
      <x:c r="H131" s="4" t="str">
        <x:v>1. 事件中心打开详情
2. 点击入库选择本轮分组填写匿名名
3. 重新检索识别</x:v>
      </x:c>
      <x:c r="I131" s="4" t="str">
        <x:v>新样本有有效特征；事件与样本关联可核对；重复点击不造成意外重复。</x:v>
      </x:c>
      <x:c r="J131" s="4" t="str">
        <x:v>解除任务引用；删除本轮样本和分组；恢复停止前任务状态</x:v>
      </x:c>
      <x:c r="K131" s="4" t="str">
        <x:v>步骤观察、实际结果、证据文件与清理核对</x:v>
      </x:c>
      <x:c r="L131" s="4" t="str">
        <x:v>UI主操作＋API只读核对</x:v>
      </x:c>
      <x:c r="M131" s="4" t="str">
        <x:v>受影响模块回归</x:v>
      </x:c>
      <x:c r="N131" s="4" t="str">
        <x:v>目标设备具备该能力</x:v>
      </x:c>
      <x:c r="O131" s="4" t="str">
        <x:v>src/web/src/views/box/basePicManagement/people；docs/guide/image-analysis.md；src/web/src/i18n/locales/zh-CN.js</x:v>
      </x:c>
      <x:c r="P131" s="4" t="str">
        <x:v>未执行</x:v>
      </x:c>
      <x:c r="Q131" s="19" t="str"/>
      <x:c r="R131" s="12" t="str"/>
      <x:c r="S131" s="12" t="str"/>
      <x:c r="T131" s="4" t="n">
        <x:v>1</x:v>
      </x:c>
      <x:c r="U131" s="4" t="str">
        <x:v>DUT；FACE-ZIP</x:v>
      </x:c>
      <x:c r="V131" s="4" t="str">
        <x:v>codex-ui-and-evidence</x:v>
      </x:c>
      <x:c r="W131" s="4" t="str"/>
      <x:c r="X131" s="4" t="str"/>
      <x:c r="Y131" s="4" t="str"/>
      <x:c r="Z131" s="4" t="str"/>
      <x:c r="AA131" s="4" t="str"/>
      <x:c r="AB131" s="4" t="str"/>
      <x:c r="AC131" s="4" t="str"/>
    </x:row>
    <x:row r="132" ht="68" customHeight="1">
      <x:c r="A132" s="17" t="str">
        <x:v>FACE-012</x:v>
      </x:c>
      <x:c r="B132" s="17" t="str">
        <x:v>J05</x:v>
      </x:c>
      <x:c r="C132" s="17" t="str">
        <x:v>人脸底库与识别</x:v>
      </x:c>
      <x:c r="D132" s="17" t="str">
        <x:v>P1</x:v>
      </x:c>
      <x:c r="E132" s="17" t="str">
        <x:v>编辑删除人员与在用库</x:v>
      </x:c>
      <x:c r="F132" s="17" t="str">
        <x:v>本轮人脸库；目标人脸检测关键点特征模型可用；任务引用本轮底库</x:v>
      </x:c>
      <x:c r="G132" s="17" t="str">
        <x:v>FACE-ZIP（441个JPG条目）；FACE-VIDEO；身份真值待补</x:v>
      </x:c>
      <x:c r="H132" s="17" t="str">
        <x:v>1. 编辑人员名和照片
2. 删除人员
3. 再识别
4. 尝试删被引用分组</x:v>
      </x:c>
      <x:c r="I132" s="17" t="str">
        <x:v>新特征和索引一致；删除后不继续命中幽灵样本；引用处理有明确反馈。</x:v>
      </x:c>
      <x:c r="J132" s="17" t="str">
        <x:v>解除任务引用；删除本轮样本和分组；恢复停止前任务状态</x:v>
      </x:c>
      <x:c r="K132" s="17" t="str">
        <x:v>步骤观察、实际结果、证据文件与清理核对</x:v>
      </x:c>
      <x:c r="L132" s="17" t="str">
        <x:v>UI主操作＋API只读核对</x:v>
      </x:c>
      <x:c r="M132" s="17" t="str">
        <x:v>受影响模块回归</x:v>
      </x:c>
      <x:c r="N132" s="17" t="str">
        <x:v>目标设备具备该能力</x:v>
      </x:c>
      <x:c r="O132" s="17" t="str">
        <x:v>src/web/src/views/box/basePicManagement/people；docs/guide/image-analysis.md；src/web/src/i18n/locales/zh-CN.js</x:v>
      </x:c>
      <x:c r="P132" s="17" t="str">
        <x:v>未执行</x:v>
      </x:c>
      <x:c r="Q132" s="19" t="str"/>
      <x:c r="R132" s="17" t="str"/>
      <x:c r="S132" s="17" t="str"/>
      <x:c r="T132" s="17" t="n">
        <x:v>1</x:v>
      </x:c>
      <x:c r="U132" s="17" t="str">
        <x:v>DUT；FACE-ZIP</x:v>
      </x:c>
      <x:c r="V132" s="17" t="str">
        <x:v>codex-ui-and-evidence</x:v>
      </x:c>
      <x:c r="W132" s="17" t="str"/>
      <x:c r="X132" s="17" t="str"/>
      <x:c r="Y132" s="17" t="str"/>
      <x:c r="Z132" s="17" t="str"/>
      <x:c r="AA132" s="17" t="str"/>
      <x:c r="AB132" s="17" t="str"/>
      <x:c r="AC132" s="17" t="str"/>
    </x:row>
    <x:row r="133" ht="68" customHeight="1">
      <x:c r="A133" s="4" t="str">
        <x:v>FACE-013</x:v>
      </x:c>
      <x:c r="B133" s="4" t="str">
        <x:v>J05</x:v>
      </x:c>
      <x:c r="C133" s="4" t="str">
        <x:v>人脸底库与识别</x:v>
      </x:c>
      <x:c r="D133" s="4" t="str">
        <x:v>P0</x:v>
      </x:c>
      <x:c r="E133" s="4" t="str">
        <x:v>重启及模型兼容性</x:v>
      </x:c>
      <x:c r="F133" s="4" t="str">
        <x:v>本轮人脸库；目标人脸检测关键点特征模型可用；本轮已有入库样本与模型副本</x:v>
      </x:c>
      <x:c r="G133" s="4" t="str">
        <x:v>FACE-ZIP（441个JPG条目）；FACE-VIDEO；身份真值待补</x:v>
      </x:c>
      <x:c r="H133" s="4" t="str">
        <x:v>1. 重启
2. 比对
3. 在隔离场景切不兼容特征模型
4. 恢复并重新登记</x:v>
      </x:c>
      <x:c r="I133" s="4" t="str">
        <x:v>重启可用；不兼容特征不当作有效比对；无有效样本显示无法判断或明确错误。</x:v>
      </x:c>
      <x:c r="J133" s="4" t="str">
        <x:v>解除任务引用；删除本轮样本和分组；恢复停止前任务状态</x:v>
      </x:c>
      <x:c r="K133" s="4" t="str">
        <x:v>步骤观察、实际结果、证据文件与清理核对</x:v>
      </x:c>
      <x:c r="L133" s="4" t="str">
        <x:v>UI主操作＋API只读核对</x:v>
      </x:c>
      <x:c r="M133" s="4" t="str">
        <x:v>发布全量/高影响</x:v>
      </x:c>
      <x:c r="N133" s="4" t="str">
        <x:v>目标设备具备该能力</x:v>
      </x:c>
      <x:c r="O133" s="4" t="str">
        <x:v>src/web/src/views/box/basePicManagement/people；docs/guide/image-analysis.md；src/web/src/i18n/locales/zh-CN.js</x:v>
      </x:c>
      <x:c r="P133" s="4" t="str">
        <x:v>未执行</x:v>
      </x:c>
      <x:c r="Q133" s="19" t="str"/>
      <x:c r="R133" s="12" t="str"/>
      <x:c r="S133" s="12" t="str"/>
      <x:c r="T133" s="4" t="n">
        <x:v>1</x:v>
      </x:c>
      <x:c r="U133" s="4" t="str">
        <x:v>DUT；FACE-ZIP</x:v>
      </x:c>
      <x:c r="V133" s="4" t="str">
        <x:v>codex-ui-and-evidence</x:v>
      </x:c>
      <x:c r="W133" s="4" t="str"/>
      <x:c r="X133" s="4" t="str"/>
      <x:c r="Y133" s="4" t="str"/>
      <x:c r="Z133" s="4" t="str"/>
      <x:c r="AA133" s="4" t="str"/>
      <x:c r="AB133" s="4" t="str"/>
      <x:c r="AC133" s="4" t="str"/>
    </x:row>
    <x:row r="134" ht="68" customHeight="1">
      <x:c r="A134" s="17" t="str">
        <x:v>UNIFORM-001</x:v>
      </x:c>
      <x:c r="B134" s="17" t="str">
        <x:v>J06</x:v>
      </x:c>
      <x:c r="C134" s="17" t="str">
        <x:v>工服底库</x:v>
      </x:c>
      <x:c r="D134" s="17" t="str">
        <x:v>P1</x:v>
      </x:c>
      <x:c r="E134" s="17" t="str">
        <x:v>工服分组增改查删</x:v>
      </x:c>
      <x:c r="F134" s="17" t="str">
        <x:v>本轮工服库；人体检测与特征模型可用</x:v>
      </x:c>
      <x:c r="G134" s="17" t="str">
        <x:v>UNIFORM-IMAGE；同服异人/异服同人/背景相似样本待补</x:v>
      </x:c>
      <x:c r="H134" s="17" t="str">
        <x:v>1. 新建工服分组
2. 改名
3. 搜索
4. 取消和确认删除空分组</x:v>
      </x:c>
      <x:c r="I134" s="17" t="str">
        <x:v>分组数据一致；必填和重名处理明确；不影响其他底库。</x:v>
      </x:c>
      <x:c r="J134" s="17" t="str">
        <x:v>解绑删除本轮工服样本和分组；恢复阈值</x:v>
      </x:c>
      <x:c r="K134" s="17" t="str">
        <x:v>步骤观察、实际结果、证据文件与清理核对</x:v>
      </x:c>
      <x:c r="L134" s="17" t="str">
        <x:v>UI主操作＋API只读核对</x:v>
      </x:c>
      <x:c r="M134" s="17" t="str">
        <x:v>受影响模块回归</x:v>
      </x:c>
      <x:c r="N134" s="17" t="str">
        <x:v>目标设备具备该能力</x:v>
      </x:c>
      <x:c r="O134" s="17" t="str">
        <x:v>src/web/src/views/box/basePicManagement/workClothes；docs/guide/image-analysis.md</x:v>
      </x:c>
      <x:c r="P134" s="17" t="str">
        <x:v>未执行</x:v>
      </x:c>
      <x:c r="Q134" s="19" t="str"/>
      <x:c r="R134" s="17" t="str"/>
      <x:c r="S134" s="17" t="str"/>
      <x:c r="T134" s="17" t="n">
        <x:v>1</x:v>
      </x:c>
      <x:c r="U134" s="17" t="str">
        <x:v>DUT；UNIFORM-IMAGE</x:v>
      </x:c>
      <x:c r="V134" s="17" t="str">
        <x:v>codex-ui-and-evidence</x:v>
      </x:c>
      <x:c r="W134" s="17" t="str"/>
      <x:c r="X134" s="17" t="str"/>
      <x:c r="Y134" s="17" t="str"/>
      <x:c r="Z134" s="17" t="str"/>
      <x:c r="AA134" s="17" t="str"/>
      <x:c r="AB134" s="17" t="str"/>
      <x:c r="AC134" s="17" t="str"/>
    </x:row>
    <x:row r="135" ht="83" customHeight="1">
      <x:c r="A135" s="4" t="str">
        <x:v>UNIFORM-002</x:v>
      </x:c>
      <x:c r="B135" s="4" t="str">
        <x:v>J06</x:v>
      </x:c>
      <x:c r="C135" s="4" t="str">
        <x:v>工服底库</x:v>
      </x:c>
      <x:c r="D135" s="4" t="str">
        <x:v>P0</x:v>
      </x:c>
      <x:c r="E135" s="4" t="str">
        <x:v>指定图片上传检测后入库</x:v>
      </x:c>
      <x:c r="F135" s="4" t="str">
        <x:v>本轮工服库；人体检测与特征模型可用；用户指定工服PNG</x:v>
      </x:c>
      <x:c r="G135" s="4" t="str">
        <x:v>UNIFORM-IMAGE；同服异人/异服同人/背景相似样本待补</x:v>
      </x:c>
      <x:c r="H135" s="4" t="str">
        <x:v>1. 点击新增上传
2. 等待人体检测
3. 选择有效目标/裁剪
4. 填样本名保存
5. 查询</x:v>
      </x:c>
      <x:c r="I135" s="4" t="str">
        <x:v>实际人体目标有有效特征；框和裁剪对应；不把整张背景或无人体图当有效工服样本。</x:v>
      </x:c>
      <x:c r="J135" s="4" t="str">
        <x:v>解绑删除本轮工服样本和分组；恢复阈值</x:v>
      </x:c>
      <x:c r="K135" s="4" t="str">
        <x:v>步骤观察、实际结果、证据文件与清理核对</x:v>
      </x:c>
      <x:c r="L135" s="4" t="str">
        <x:v>UI主操作＋API只读核对</x:v>
      </x:c>
      <x:c r="M135" s="4" t="str">
        <x:v>每次变更冒烟</x:v>
      </x:c>
      <x:c r="N135" s="4" t="str">
        <x:v>目标设备具备该能力</x:v>
      </x:c>
      <x:c r="O135" s="4" t="str">
        <x:v>src/web/src/views/box/basePicManagement/workClothes；docs/guide/image-analysis.md</x:v>
      </x:c>
      <x:c r="P135" s="4" t="str">
        <x:v>未执行</x:v>
      </x:c>
      <x:c r="Q135" s="19" t="str"/>
      <x:c r="R135" s="12" t="str"/>
      <x:c r="S135" s="12" t="str"/>
      <x:c r="T135" s="4" t="n">
        <x:v>1</x:v>
      </x:c>
      <x:c r="U135" s="4" t="str">
        <x:v>DUT；UNIFORM-IMAGE</x:v>
      </x:c>
      <x:c r="V135" s="4" t="str">
        <x:v>codex-ui-and-evidence</x:v>
      </x:c>
      <x:c r="W135" s="4" t="str"/>
      <x:c r="X135" s="4" t="str"/>
      <x:c r="Y135" s="4" t="str"/>
      <x:c r="Z135" s="4" t="str"/>
      <x:c r="AA135" s="4" t="str"/>
      <x:c r="AB135" s="4" t="str"/>
      <x:c r="AC135" s="4" t="str"/>
    </x:row>
    <x:row r="136" ht="53" customHeight="1">
      <x:c r="A136" s="17" t="str">
        <x:v>UNIFORM-003</x:v>
      </x:c>
      <x:c r="B136" s="17" t="str">
        <x:v>J06</x:v>
      </x:c>
      <x:c r="C136" s="17" t="str">
        <x:v>工服底库</x:v>
      </x:c>
      <x:c r="D136" s="17" t="str">
        <x:v>P0</x:v>
      </x:c>
      <x:c r="E136" s="17" t="str">
        <x:v>无人体多人体和取消</x:v>
      </x:c>
      <x:c r="F136" s="17" t="str">
        <x:v>本轮工服库；人体检测与特征模型可用；无人体图、多人体图、损坏图</x:v>
      </x:c>
      <x:c r="G136" s="17" t="str">
        <x:v>UNIFORM-IMAGE；同服异人/异服同人/背景相似样本待补</x:v>
      </x:c>
      <x:c r="H136" s="17" t="str">
        <x:v>1. 逐个上传
2. 多目标时按界面选择
3. 取消一次再重做</x:v>
      </x:c>
      <x:c r="I136" s="17" t="str">
        <x:v>无目标不假成功；多目标归属清晰；取消不产生底库条目；错误可重试。</x:v>
      </x:c>
      <x:c r="J136" s="17" t="str">
        <x:v>解绑删除本轮工服样本和分组；恢复阈值</x:v>
      </x:c>
      <x:c r="K136" s="17" t="str">
        <x:v>步骤观察、实际结果、证据文件与清理核对</x:v>
      </x:c>
      <x:c r="L136" s="17" t="str">
        <x:v>UI主操作＋API只读核对</x:v>
      </x:c>
      <x:c r="M136" s="17" t="str">
        <x:v>受影响模块回归</x:v>
      </x:c>
      <x:c r="N136" s="17" t="str">
        <x:v>目标设备具备该能力</x:v>
      </x:c>
      <x:c r="O136" s="17" t="str">
        <x:v>src/web/src/views/box/basePicManagement/workClothes；docs/guide/image-analysis.md</x:v>
      </x:c>
      <x:c r="P136" s="17" t="str">
        <x:v>未执行</x:v>
      </x:c>
      <x:c r="Q136" s="19" t="str"/>
      <x:c r="R136" s="17" t="str"/>
      <x:c r="S136" s="17" t="str"/>
      <x:c r="T136" s="17" t="n">
        <x:v>1</x:v>
      </x:c>
      <x:c r="U136" s="17" t="str">
        <x:v>DUT；UNIFORM-IMAGE</x:v>
      </x:c>
      <x:c r="V136" s="17" t="str">
        <x:v>codex-ui-and-evidence</x:v>
      </x:c>
      <x:c r="W136" s="17" t="str"/>
      <x:c r="X136" s="17" t="str"/>
      <x:c r="Y136" s="17" t="str"/>
      <x:c r="Z136" s="17" t="str"/>
      <x:c r="AA136" s="17" t="str"/>
      <x:c r="AB136" s="17" t="str"/>
      <x:c r="AC136" s="17" t="str"/>
    </x:row>
    <x:row r="137" ht="68" customHeight="1">
      <x:c r="A137" s="4" t="str">
        <x:v>UNIFORM-004</x:v>
      </x:c>
      <x:c r="B137" s="4" t="str">
        <x:v>J06</x:v>
      </x:c>
      <x:c r="C137" s="4" t="str">
        <x:v>工服底库</x:v>
      </x:c>
      <x:c r="D137" s="4" t="str">
        <x:v>P1</x:v>
      </x:c>
      <x:c r="E137" s="4" t="str">
        <x:v>通道抓拍入库</x:v>
      </x:c>
      <x:c r="F137" s="4" t="str">
        <x:v>本轮工服库；人体检测与特征模型可用；实时或本地通道有穿工服人</x:v>
      </x:c>
      <x:c r="G137" s="4" t="str">
        <x:v>UNIFORM-IMAGE；同服异人/异服同人/背景相似样本待补</x:v>
      </x:c>
      <x:c r="H137" s="4" t="str">
        <x:v>1. 打开抓拍
2. 切通道刷新
3. 选目标入库
4. 查看样本</x:v>
      </x:c>
      <x:c r="I137" s="4" t="str">
        <x:v>图片来自选中通道且非过期截图；特征有效；失败不留下空条目。</x:v>
      </x:c>
      <x:c r="J137" s="4" t="str">
        <x:v>解绑删除本轮工服样本和分组；恢复阈值</x:v>
      </x:c>
      <x:c r="K137" s="4" t="str">
        <x:v>步骤观察、实际结果、证据文件与清理核对</x:v>
      </x:c>
      <x:c r="L137" s="4" t="str">
        <x:v>UI主操作＋API只读核对</x:v>
      </x:c>
      <x:c r="M137" s="4" t="str">
        <x:v>受影响模块回归</x:v>
      </x:c>
      <x:c r="N137" s="4" t="str">
        <x:v>目标设备具备该能力</x:v>
      </x:c>
      <x:c r="O137" s="4" t="str">
        <x:v>src/web/src/views/box/basePicManagement/workClothes；docs/guide/image-analysis.md</x:v>
      </x:c>
      <x:c r="P137" s="4" t="str">
        <x:v>未执行</x:v>
      </x:c>
      <x:c r="Q137" s="19" t="str"/>
      <x:c r="R137" s="12" t="str"/>
      <x:c r="S137" s="12" t="str"/>
      <x:c r="T137" s="4" t="n">
        <x:v>1</x:v>
      </x:c>
      <x:c r="U137" s="4" t="str">
        <x:v>DUT；UNIFORM-IMAGE</x:v>
      </x:c>
      <x:c r="V137" s="4" t="str">
        <x:v>codex-ui-and-evidence</x:v>
      </x:c>
      <x:c r="W137" s="4" t="str"/>
      <x:c r="X137" s="4" t="str"/>
      <x:c r="Y137" s="4" t="str"/>
      <x:c r="Z137" s="4" t="str"/>
      <x:c r="AA137" s="4" t="str"/>
      <x:c r="AB137" s="4" t="str"/>
      <x:c r="AC137" s="4" t="str"/>
    </x:row>
    <x:row r="138" ht="53" customHeight="1">
      <x:c r="A138" s="17" t="str">
        <x:v>UNIFORM-005</x:v>
      </x:c>
      <x:c r="B138" s="17" t="str">
        <x:v>J06</x:v>
      </x:c>
      <x:c r="C138" s="17" t="str">
        <x:v>工服底库</x:v>
      </x:c>
      <x:c r="D138" s="17" t="str">
        <x:v>P0</x:v>
      </x:c>
      <x:c r="E138" s="17" t="str">
        <x:v>穿工服与未穿工服业务语义</x:v>
      </x:c>
      <x:c r="F138" s="17" t="str">
        <x:v>本轮工服库；人体检测与特征模型可用；经人工标注的正反例</x:v>
      </x:c>
      <x:c r="G138" s="17" t="str">
        <x:v>UNIFORM-IMAGE；同服异人/异服同人/背景相似样本待补</x:v>
      </x:c>
      <x:c r="H138" s="17" t="str">
        <x:v>1. 绑定有效库
2. 分析库命中穿工服图
3. 分析库不命中异服图</x:v>
      </x:c>
      <x:c r="I138" s="17" t="str">
        <x:v>库命中时未穿工服业务未命中；库未命中时业务命中；结果与样本分数可核对。</x:v>
      </x:c>
      <x:c r="J138" s="17" t="str">
        <x:v>解绑删除本轮工服样本和分组；恢复阈值</x:v>
      </x:c>
      <x:c r="K138" s="17" t="str">
        <x:v>步骤观察、实际结果、证据文件与清理核对</x:v>
      </x:c>
      <x:c r="L138" s="17" t="str">
        <x:v>UI主操作＋API只读核对</x:v>
      </x:c>
      <x:c r="M138" s="17" t="str">
        <x:v>受影响模块回归</x:v>
      </x:c>
      <x:c r="N138" s="17" t="str">
        <x:v>目标设备具备该能力</x:v>
      </x:c>
      <x:c r="O138" s="17" t="str">
        <x:v>src/web/src/views/box/basePicManagement/workClothes；docs/guide/image-analysis.md</x:v>
      </x:c>
      <x:c r="P138" s="17" t="str">
        <x:v>未执行</x:v>
      </x:c>
      <x:c r="Q138" s="19" t="str"/>
      <x:c r="R138" s="17" t="str"/>
      <x:c r="S138" s="17" t="str"/>
      <x:c r="T138" s="17" t="n">
        <x:v>1</x:v>
      </x:c>
      <x:c r="U138" s="17" t="str">
        <x:v>DUT；UNIFORM-IMAGE；UNIFORM-TRUTH</x:v>
      </x:c>
      <x:c r="V138" s="17" t="str">
        <x:v>codex-ui-and-evidence</x:v>
      </x:c>
      <x:c r="W138" s="17" t="str"/>
      <x:c r="X138" s="17" t="str"/>
      <x:c r="Y138" s="17" t="str"/>
      <x:c r="Z138" s="17" t="str"/>
      <x:c r="AA138" s="17" t="str"/>
      <x:c r="AB138" s="17" t="str"/>
      <x:c r="AC138" s="17" t="str"/>
    </x:row>
    <x:row r="139" ht="53" customHeight="1">
      <x:c r="A139" s="4" t="str">
        <x:v>UNIFORM-006</x:v>
      </x:c>
      <x:c r="B139" s="4" t="str">
        <x:v>J06</x:v>
      </x:c>
      <x:c r="C139" s="4" t="str">
        <x:v>工服底库</x:v>
      </x:c>
      <x:c r="D139" s="4" t="str">
        <x:v>P0</x:v>
      </x:c>
      <x:c r="E139" s="4" t="str">
        <x:v>空库和无有效特征</x:v>
      </x:c>
      <x:c r="F139" s="4" t="str">
        <x:v>本轮工服库；人体检测与特征模型可用；空库或隔离的无效特征样本</x:v>
      </x:c>
      <x:c r="G139" s="4" t="str">
        <x:v>UNIFORM-IMAGE；同服异人/异服同人/背景相似样本待补</x:v>
      </x:c>
      <x:c r="H139" s="4" t="str">
        <x:v>1. 绑定空库分析
2. 取消库绑定再分析
3. 重新登记有效样本后分析</x:v>
      </x:c>
      <x:c r="I139" s="4" t="str">
        <x:v>空有效集显示无法判断；未绑定是配置错误；不能据此判定未穿工服。</x:v>
      </x:c>
      <x:c r="J139" s="4" t="str">
        <x:v>解绑删除本轮工服样本和分组；恢复阈值</x:v>
      </x:c>
      <x:c r="K139" s="4" t="str">
        <x:v>步骤观察、实际结果、证据文件与清理核对</x:v>
      </x:c>
      <x:c r="L139" s="4" t="str">
        <x:v>UI主操作＋API只读核对</x:v>
      </x:c>
      <x:c r="M139" s="4" t="str">
        <x:v>受影响模块回归</x:v>
      </x:c>
      <x:c r="N139" s="4" t="str">
        <x:v>目标设备具备该能力</x:v>
      </x:c>
      <x:c r="O139" s="4" t="str">
        <x:v>src/web/src/views/box/basePicManagement/workClothes；docs/guide/image-analysis.md</x:v>
      </x:c>
      <x:c r="P139" s="4" t="str">
        <x:v>未执行</x:v>
      </x:c>
      <x:c r="Q139" s="19" t="str"/>
      <x:c r="R139" s="12" t="str"/>
      <x:c r="S139" s="12" t="str"/>
      <x:c r="T139" s="4" t="n">
        <x:v>1</x:v>
      </x:c>
      <x:c r="U139" s="4" t="str">
        <x:v>DUT；UNIFORM-IMAGE</x:v>
      </x:c>
      <x:c r="V139" s="4" t="str">
        <x:v>codex-ui-and-evidence</x:v>
      </x:c>
      <x:c r="W139" s="4" t="str"/>
      <x:c r="X139" s="4" t="str"/>
      <x:c r="Y139" s="4" t="str"/>
      <x:c r="Z139" s="4" t="str"/>
      <x:c r="AA139" s="4" t="str"/>
      <x:c r="AB139" s="4" t="str"/>
      <x:c r="AC139" s="4" t="str"/>
    </x:row>
    <x:row r="140" ht="53" customHeight="1">
      <x:c r="A140" s="17" t="str">
        <x:v>UNIFORM-007</x:v>
      </x:c>
      <x:c r="B140" s="17" t="str">
        <x:v>J06</x:v>
      </x:c>
      <x:c r="C140" s="17" t="str">
        <x:v>工服底库</x:v>
      </x:c>
      <x:c r="D140" s="17" t="str">
        <x:v>P1</x:v>
      </x:c>
      <x:c r="E140" s="17" t="str">
        <x:v>阈值与外观干扰</x:v>
      </x:c>
      <x:c r="F140" s="17" t="str">
        <x:v>本轮工服库；人体检测与特征模型可用；同服异人、异服同人、背景相似、遮挡样本</x:v>
      </x:c>
      <x:c r="G140" s="17" t="str">
        <x:v>UNIFORM-IMAGE；同服异人/异服同人/背景相似样本待补</x:v>
      </x:c>
      <x:c r="H140" s="17" t="str">
        <x:v>1. 冻结阈值跑各组
2. 记录分数和错判
3. 调参后用独立验收集复测</x:v>
      </x:c>
      <x:c r="I140" s="17" t="str">
        <x:v>分别记录各切片表现；不把人体外观相似度宣称为工服类别或身份概率。</x:v>
      </x:c>
      <x:c r="J140" s="17" t="str">
        <x:v>解绑删除本轮工服样本和分组；恢复阈值</x:v>
      </x:c>
      <x:c r="K140" s="17" t="str">
        <x:v>步骤观察、实际结果、证据文件与清理核对</x:v>
      </x:c>
      <x:c r="L140" s="17" t="str">
        <x:v>UI主操作＋API只读核对</x:v>
      </x:c>
      <x:c r="M140" s="17" t="str">
        <x:v>受影响模块回归</x:v>
      </x:c>
      <x:c r="N140" s="17" t="str">
        <x:v>目标设备具备该能力</x:v>
      </x:c>
      <x:c r="O140" s="17" t="str">
        <x:v>src/web/src/views/box/basePicManagement/workClothes；docs/guide/image-analysis.md</x:v>
      </x:c>
      <x:c r="P140" s="17" t="str">
        <x:v>未执行</x:v>
      </x:c>
      <x:c r="Q140" s="19" t="str"/>
      <x:c r="R140" s="17" t="str"/>
      <x:c r="S140" s="17" t="str"/>
      <x:c r="T140" s="17" t="n">
        <x:v>1</x:v>
      </x:c>
      <x:c r="U140" s="17" t="str">
        <x:v>DUT；UNIFORM-IMAGE；UNIFORM-TRUTH</x:v>
      </x:c>
      <x:c r="V140" s="17" t="str">
        <x:v>codex-ui-and-evidence</x:v>
      </x:c>
      <x:c r="W140" s="17" t="str"/>
      <x:c r="X140" s="17" t="str"/>
      <x:c r="Y140" s="17" t="str"/>
      <x:c r="Z140" s="17" t="str"/>
      <x:c r="AA140" s="17" t="str"/>
      <x:c r="AB140" s="17" t="str"/>
      <x:c r="AC140" s="17" t="str"/>
    </x:row>
    <x:row r="141" ht="68" customHeight="1">
      <x:c r="A141" s="4" t="str">
        <x:v>UNIFORM-008</x:v>
      </x:c>
      <x:c r="B141" s="4" t="str">
        <x:v>J06</x:v>
      </x:c>
      <x:c r="C141" s="4" t="str">
        <x:v>工服底库</x:v>
      </x:c>
      <x:c r="D141" s="4" t="str">
        <x:v>P1</x:v>
      </x:c>
      <x:c r="E141" s="4" t="str">
        <x:v>编辑删除与多库引用</x:v>
      </x:c>
      <x:c r="F141" s="4" t="str">
        <x:v>本轮工服库；人体检测与特征模型可用；两组工服库</x:v>
      </x:c>
      <x:c r="G141" s="4" t="str">
        <x:v>UNIFORM-IMAGE；同服异人/异服同人/背景相似样本待补</x:v>
      </x:c>
      <x:c r="H141" s="4" t="str">
        <x:v>1. 编辑样本信息
2. 多库绑定
3. 删除样本后重测
4. 删除在用分组</x:v>
      </x:c>
      <x:c r="I141" s="4" t="str">
        <x:v>索引和列表一致；未绑定库不参与；删除或引用冲突反馈明确。</x:v>
      </x:c>
      <x:c r="J141" s="4" t="str">
        <x:v>解绑删除本轮工服样本和分组；恢复阈值</x:v>
      </x:c>
      <x:c r="K141" s="4" t="str">
        <x:v>步骤观察、实际结果、证据文件与清理核对</x:v>
      </x:c>
      <x:c r="L141" s="4" t="str">
        <x:v>UI主操作＋API只读核对</x:v>
      </x:c>
      <x:c r="M141" s="4" t="str">
        <x:v>受影响模块回归</x:v>
      </x:c>
      <x:c r="N141" s="4" t="str">
        <x:v>目标设备具备该能力</x:v>
      </x:c>
      <x:c r="O141" s="4" t="str">
        <x:v>src/web/src/views/box/basePicManagement/workClothes；docs/guide/image-analysis.md</x:v>
      </x:c>
      <x:c r="P141" s="4" t="str">
        <x:v>未执行</x:v>
      </x:c>
      <x:c r="Q141" s="19" t="str"/>
      <x:c r="R141" s="12" t="str"/>
      <x:c r="S141" s="12" t="str"/>
      <x:c r="T141" s="4" t="n">
        <x:v>1</x:v>
      </x:c>
      <x:c r="U141" s="4" t="str">
        <x:v>DUT；UNIFORM-IMAGE</x:v>
      </x:c>
      <x:c r="V141" s="4" t="str">
        <x:v>codex-ui-and-evidence</x:v>
      </x:c>
      <x:c r="W141" s="4" t="str"/>
      <x:c r="X141" s="4" t="str"/>
      <x:c r="Y141" s="4" t="str"/>
      <x:c r="Z141" s="4" t="str"/>
      <x:c r="AA141" s="4" t="str"/>
      <x:c r="AB141" s="4" t="str"/>
      <x:c r="AC141" s="4" t="str"/>
    </x:row>
    <x:row r="142" ht="53" customHeight="1">
      <x:c r="A142" s="17" t="str">
        <x:v>ITEM-001</x:v>
      </x:c>
      <x:c r="B142" s="17" t="str">
        <x:v>J06</x:v>
      </x:c>
      <x:c r="C142" s="17" t="str">
        <x:v>隐藏物品底库</x:v>
      </x:c>
      <x:c r="D142" s="17" t="str">
        <x:v>P1</x:v>
      </x:c>
      <x:c r="E142" s="17" t="str">
        <x:v>隐藏入口与鉴权</x:v>
      </x:c>
      <x:c r="F142" s="17" t="str">
        <x:v>当前菜单hidden；先评审是否纳入目标交付；不得默认为可见功能</x:v>
      </x:c>
      <x:c r="G142" s="17" t="str">
        <x:v>物品样本与适用模型待补</x:v>
      </x:c>
      <x:c r="H142" s="17" t="str">
        <x:v>1. 核对菜单隐藏
2. 登录后直接访问路由
3. 无会话调用ThingsLibrary</x:v>
      </x:c>
      <x:c r="I142" s="17" t="str">
        <x:v>隐藏与后端支持分开记录；未鉴权不可读写；无业务承诺时列条件性范围。</x:v>
      </x:c>
      <x:c r="J142" s="17" t="str">
        <x:v>删除本轮物品对象和绑定</x:v>
      </x:c>
      <x:c r="K142" s="17" t="str">
        <x:v>步骤观察、实际结果、证据文件与清理核对</x:v>
      </x:c>
      <x:c r="L142" s="17" t="str">
        <x:v>UI主操作＋API只读核对</x:v>
      </x:c>
      <x:c r="M142" s="17" t="str">
        <x:v>受影响模块回归</x:v>
      </x:c>
      <x:c r="N142" s="17" t="str">
        <x:v>目标设备具备该能力</x:v>
      </x:c>
      <x:c r="O142" s="17" t="str">
        <x:v>src/web/src/views/main/menu.js；src/web/src/views/box/basePicManagement/item；src/api/ApiRouterRoutes.cc</x:v>
      </x:c>
      <x:c r="P142" s="17" t="str">
        <x:v>未执行</x:v>
      </x:c>
      <x:c r="Q142" s="19" t="str"/>
      <x:c r="R142" s="17" t="str"/>
      <x:c r="S142" s="17" t="str"/>
      <x:c r="T142" s="17" t="n">
        <x:v>1</x:v>
      </x:c>
      <x:c r="U142" s="17" t="str">
        <x:v>DUT；IMAGE-MEDIA</x:v>
      </x:c>
      <x:c r="V142" s="17" t="str">
        <x:v>codex-ui-and-evidence</x:v>
      </x:c>
      <x:c r="W142" s="17" t="str"/>
      <x:c r="X142" s="17" t="str"/>
      <x:c r="Y142" s="17" t="str"/>
      <x:c r="Z142" s="17" t="str"/>
      <x:c r="AA142" s="17" t="str"/>
      <x:c r="AB142" s="17" t="str"/>
      <x:c r="AC142" s="17" t="str"/>
    </x:row>
    <x:row r="143" ht="98" customHeight="1">
      <x:c r="A143" s="4" t="str">
        <x:v>ITEM-002</x:v>
      </x:c>
      <x:c r="B143" s="4" t="str">
        <x:v>J06</x:v>
      </x:c>
      <x:c r="C143" s="4" t="str">
        <x:v>隐藏物品底库</x:v>
      </x:c>
      <x:c r="D143" s="4" t="str">
        <x:v>P2</x:v>
      </x:c>
      <x:c r="E143" s="4" t="str">
        <x:v>物品分组样本和任务绑定</x:v>
      </x:c>
      <x:c r="F143" s="4" t="str">
        <x:v>当前菜单hidden；先评审是否纳入目标交付；不得默认为可见功能；评审确认该功能适用且有模型</x:v>
      </x:c>
      <x:c r="G143" s="4" t="str">
        <x:v>物品样本与适用模型待补</x:v>
      </x:c>
      <x:c r="H143" s="4" t="str">
        <x:v>1. 新建分组
2. 上传/抓拍裁剪物品
3. 新增样本
4. 绑定任务
5. 查命中
6. 删除</x:v>
      </x:c>
      <x:c r="I143" s="4" t="str">
        <x:v>逐步有结果；无模型不能假通过；删除后引用和特征无残留。</x:v>
      </x:c>
      <x:c r="J143" s="4" t="str">
        <x:v>删除本轮物品对象和绑定</x:v>
      </x:c>
      <x:c r="K143" s="4" t="str">
        <x:v>步骤观察、实际结果、证据文件与清理核对</x:v>
      </x:c>
      <x:c r="L143" s="4" t="str">
        <x:v>UI主操作＋API只读核对</x:v>
      </x:c>
      <x:c r="M143" s="4" t="str">
        <x:v>受影响模块回归</x:v>
      </x:c>
      <x:c r="N143" s="4" t="str">
        <x:v>目标设备具备该能力</x:v>
      </x:c>
      <x:c r="O143" s="4" t="str">
        <x:v>src/web/src/views/main/menu.js；src/web/src/views/box/basePicManagement/item；src/api/ApiRouterRoutes.cc</x:v>
      </x:c>
      <x:c r="P143" s="4" t="str">
        <x:v>未执行</x:v>
      </x:c>
      <x:c r="Q143" s="19" t="str"/>
      <x:c r="R143" s="12" t="str"/>
      <x:c r="S143" s="12" t="str"/>
      <x:c r="T143" s="4" t="n">
        <x:v>1</x:v>
      </x:c>
      <x:c r="U143" s="4" t="str">
        <x:v>DUT；IMAGE-MEDIA</x:v>
      </x:c>
      <x:c r="V143" s="4" t="str">
        <x:v>codex-ui-and-evidence</x:v>
      </x:c>
      <x:c r="W143" s="4" t="str"/>
      <x:c r="X143" s="4" t="str"/>
      <x:c r="Y143" s="4" t="str"/>
      <x:c r="Z143" s="4" t="str"/>
      <x:c r="AA143" s="4" t="str"/>
      <x:c r="AB143" s="4" t="str"/>
      <x:c r="AC143" s="4" t="str"/>
    </x:row>
    <x:row r="144" ht="68" customHeight="1">
      <x:c r="A144" s="17" t="str">
        <x:v>IMAGE-001</x:v>
      </x:c>
      <x:c r="B144" s="17" t="str">
        <x:v>J07</x:v>
      </x:c>
      <x:c r="C144" s="17" t="str">
        <x:v>图片分析与双图比对</x:v>
      </x:c>
      <x:c r="D144" s="17" t="str">
        <x:v>P0</x:v>
      </x:c>
      <x:c r="E144" s="17" t="str">
        <x:v>单图业务分析</x:v>
      </x:c>
      <x:c r="F144" s="17" t="str">
        <x:v>已安装图片场景依赖模型；需要底库的场景已绑定有效库</x:v>
      </x:c>
      <x:c r="G144" s="17" t="str">
        <x:v>IMAGE-MEDIA；FACE-ZIP匿名副本；UNIFORM-IMAGE；场景正负样本</x:v>
      </x:c>
      <x:c r="H144" s="17" t="str">
        <x:v>1. 选择图片场景
2. 上传固定正样本
3. 开始分析
4. 查看业务结论框和目标详情</x:v>
      </x:c>
      <x:c r="I144" s="17" t="str">
        <x:v>业务结论与目标证据一致；检测置信度与相似度分开；分析失败不显示为未命中。</x:v>
      </x:c>
      <x:c r="J144" s="17" t="str">
        <x:v>清理本轮上传与临时图片任务；恢复场景选择</x:v>
      </x:c>
      <x:c r="K144" s="17" t="str">
        <x:v>步骤观察、实际结果、证据文件与清理核对</x:v>
      </x:c>
      <x:c r="L144" s="17" t="str">
        <x:v>UI主操作＋API只读核对</x:v>
      </x:c>
      <x:c r="M144" s="17" t="str">
        <x:v>每次变更冒烟</x:v>
      </x:c>
      <x:c r="N144" s="17" t="str">
        <x:v>目标设备具备该能力</x:v>
      </x:c>
      <x:c r="O144" s="17" t="str">
        <x:v>docs/guide/image-analysis.md；docs/reference/image-detection-api.md；src/web/src/views/gam/imageAnalysis</x:v>
      </x:c>
      <x:c r="P144" s="17" t="str">
        <x:v>未执行</x:v>
      </x:c>
      <x:c r="Q144" s="19" t="str"/>
      <x:c r="R144" s="17" t="str"/>
      <x:c r="S144" s="17" t="str"/>
      <x:c r="T144" s="17" t="n">
        <x:v>1</x:v>
      </x:c>
      <x:c r="U144" s="17" t="str">
        <x:v>DUT；IMAGE-MEDIA；MODEL-INVENTORY</x:v>
      </x:c>
      <x:c r="V144" s="17" t="str">
        <x:v>codex-ui-and-evidence</x:v>
      </x:c>
      <x:c r="W144" s="17" t="str"/>
      <x:c r="X144" s="17" t="str"/>
      <x:c r="Y144" s="17" t="str"/>
      <x:c r="Z144" s="17" t="str"/>
      <x:c r="AA144" s="17" t="str"/>
      <x:c r="AB144" s="17" t="str"/>
      <x:c r="AC144" s="17" t="str"/>
    </x:row>
    <x:row r="145" ht="68" customHeight="1">
      <x:c r="A145" s="4" t="str">
        <x:v>IMAGE-002</x:v>
      </x:c>
      <x:c r="B145" s="4" t="str">
        <x:v>J07</x:v>
      </x:c>
      <x:c r="C145" s="4" t="str">
        <x:v>图片分析与双图比对</x:v>
      </x:c>
      <x:c r="D145" s="4" t="str">
        <x:v>P0</x:v>
      </x:c>
      <x:c r="E145" s="4" t="str">
        <x:v>多图批量与部分失败</x:v>
      </x:c>
      <x:c r="F145" s="4" t="str">
        <x:v>已安装图片场景依赖模型；需要底库的场景已绑定有效库；正样本负样本坏图片混合</x:v>
      </x:c>
      <x:c r="G145" s="4" t="str">
        <x:v>IMAGE-MEDIA；FACE-ZIP匿名副本；UNIFORM-IMAGE；场景正负样本</x:v>
      </x:c>
      <x:c r="H145" s="4" t="str">
        <x:v>1. 批量选择多图
2. 分析
3. 分别查看结果
4. 重试失败项</x:v>
      </x:c>
      <x:c r="I145" s="4" t="str">
        <x:v>每张独立结果且不串图；坏图不吞掉成功结果；列表计数一致。</x:v>
      </x:c>
      <x:c r="J145" s="4" t="str">
        <x:v>清理本轮上传与临时图片任务；恢复场景选择</x:v>
      </x:c>
      <x:c r="K145" s="4" t="str">
        <x:v>步骤观察、实际结果、证据文件与清理核对</x:v>
      </x:c>
      <x:c r="L145" s="4" t="str">
        <x:v>UI主操作＋API只读核对</x:v>
      </x:c>
      <x:c r="M145" s="4" t="str">
        <x:v>受影响模块回归</x:v>
      </x:c>
      <x:c r="N145" s="4" t="str">
        <x:v>目标设备具备该能力</x:v>
      </x:c>
      <x:c r="O145" s="4" t="str">
        <x:v>docs/guide/image-analysis.md；docs/reference/image-detection-api.md；src/web/src/views/gam/imageAnalysis</x:v>
      </x:c>
      <x:c r="P145" s="4" t="str">
        <x:v>未执行</x:v>
      </x:c>
      <x:c r="Q145" s="19" t="str"/>
      <x:c r="R145" s="12" t="str"/>
      <x:c r="S145" s="12" t="str"/>
      <x:c r="T145" s="4" t="n">
        <x:v>1</x:v>
      </x:c>
      <x:c r="U145" s="4" t="str">
        <x:v>DUT；IMAGE-MEDIA；MODEL-INVENTORY</x:v>
      </x:c>
      <x:c r="V145" s="4" t="str">
        <x:v>codex-ui-and-evidence</x:v>
      </x:c>
      <x:c r="W145" s="4" t="str"/>
      <x:c r="X145" s="4" t="str"/>
      <x:c r="Y145" s="4" t="str"/>
      <x:c r="Z145" s="4" t="str"/>
      <x:c r="AA145" s="4" t="str"/>
      <x:c r="AB145" s="4" t="str"/>
      <x:c r="AC145" s="4" t="str"/>
    </x:row>
    <x:row r="146" ht="68" customHeight="1">
      <x:c r="A146" s="17" t="str">
        <x:v>IMAGE-003</x:v>
      </x:c>
      <x:c r="B146" s="17" t="str">
        <x:v>J07</x:v>
      </x:c>
      <x:c r="C146" s="17" t="str">
        <x:v>图片分析与双图比对</x:v>
      </x:c>
      <x:c r="D146" s="17" t="str">
        <x:v>P0</x:v>
      </x:c>
      <x:c r="E146" s="17" t="str">
        <x:v>临时参数不污染默认值</x:v>
      </x:c>
      <x:c r="F146" s="17" t="str">
        <x:v>已安装图片场景依赖模型；需要底库的场景已绑定有效库</x:v>
      </x:c>
      <x:c r="G146" s="17" t="str">
        <x:v>IMAGE-MEDIA；FACE-ZIP匿名副本；UNIFORM-IMAGE；场景正负样本</x:v>
      </x:c>
      <x:c r="H146" s="17" t="str">
        <x:v>1. 在分析参数调阈值或绑定
2. 本次分析
3. 切换场景再回到原场景
4. 打开场景默认</x:v>
      </x:c>
      <x:c r="I146" s="17" t="str">
        <x:v>覆盖仅本次分析；默认值不被改；场景保存后重新选择能加载最新值。</x:v>
      </x:c>
      <x:c r="J146" s="17" t="str">
        <x:v>清理本轮上传与临时图片任务；恢复场景选择</x:v>
      </x:c>
      <x:c r="K146" s="17" t="str">
        <x:v>步骤观察、实际结果、证据文件与清理核对</x:v>
      </x:c>
      <x:c r="L146" s="17" t="str">
        <x:v>UI主操作＋API只读核对</x:v>
      </x:c>
      <x:c r="M146" s="17" t="str">
        <x:v>受影响模块回归</x:v>
      </x:c>
      <x:c r="N146" s="17" t="str">
        <x:v>目标设备具备该能力</x:v>
      </x:c>
      <x:c r="O146" s="17" t="str">
        <x:v>docs/guide/image-analysis.md；docs/reference/image-detection-api.md；src/web/src/views/gam/imageAnalysis</x:v>
      </x:c>
      <x:c r="P146" s="17" t="str">
        <x:v>未执行</x:v>
      </x:c>
      <x:c r="Q146" s="19" t="str"/>
      <x:c r="R146" s="17" t="str"/>
      <x:c r="S146" s="17" t="str"/>
      <x:c r="T146" s="17" t="n">
        <x:v>1</x:v>
      </x:c>
      <x:c r="U146" s="17" t="str">
        <x:v>DUT；IMAGE-MEDIA；MODEL-INVENTORY</x:v>
      </x:c>
      <x:c r="V146" s="17" t="str">
        <x:v>codex-ui-and-evidence</x:v>
      </x:c>
      <x:c r="W146" s="17" t="str"/>
      <x:c r="X146" s="17" t="str"/>
      <x:c r="Y146" s="17" t="str"/>
      <x:c r="Z146" s="17" t="str"/>
      <x:c r="AA146" s="17" t="str"/>
      <x:c r="AB146" s="17" t="str"/>
      <x:c r="AC146" s="17" t="str"/>
    </x:row>
    <x:row r="147" ht="68" customHeight="1">
      <x:c r="A147" s="4" t="str">
        <x:v>IMAGE-004</x:v>
      </x:c>
      <x:c r="B147" s="4" t="str">
        <x:v>J07</x:v>
      </x:c>
      <x:c r="C147" s="4" t="str">
        <x:v>图片分析与双图比对</x:v>
      </x:c>
      <x:c r="D147" s="4" t="str">
        <x:v>P0</x:v>
      </x:c>
      <x:c r="E147" s="4" t="str">
        <x:v>底库命中详情</x:v>
      </x:c>
      <x:c r="F147" s="4" t="str">
        <x:v>已安装图片场景依赖模型；需要底库的场景已绑定有效库；有效人脸或工服库</x:v>
      </x:c>
      <x:c r="G147" s="4" t="str">
        <x:v>IMAGE-MEDIA；FACE-ZIP匿名副本；UNIFORM-IMAGE；场景正负样本</x:v>
      </x:c>
      <x:c r="H147" s="4" t="str">
        <x:v>1. 选择对应比对场景
2. 分析可命中图
3. 打开库图预览
4. 核对matchInfo</x:v>
      </x:c>
      <x:c r="I147" s="4" t="str">
        <x:v>显示正确样本名库名图片和分数；业务命中数量不是分数；证据目标可追踪。</x:v>
      </x:c>
      <x:c r="J147" s="4" t="str">
        <x:v>清理本轮上传与临时图片任务；恢复场景选择</x:v>
      </x:c>
      <x:c r="K147" s="4" t="str">
        <x:v>步骤观察、实际结果、证据文件与清理核对</x:v>
      </x:c>
      <x:c r="L147" s="4" t="str">
        <x:v>UI主操作＋API只读核对</x:v>
      </x:c>
      <x:c r="M147" s="4" t="str">
        <x:v>受影响模块回归</x:v>
      </x:c>
      <x:c r="N147" s="4" t="str">
        <x:v>目标设备具备该能力</x:v>
      </x:c>
      <x:c r="O147" s="4" t="str">
        <x:v>docs/guide/image-analysis.md；docs/reference/image-detection-api.md；src/web/src/views/gam/imageAnalysis</x:v>
      </x:c>
      <x:c r="P147" s="4" t="str">
        <x:v>未执行</x:v>
      </x:c>
      <x:c r="Q147" s="19" t="str"/>
      <x:c r="R147" s="12" t="str"/>
      <x:c r="S147" s="12" t="str"/>
      <x:c r="T147" s="4" t="n">
        <x:v>1</x:v>
      </x:c>
      <x:c r="U147" s="4" t="str">
        <x:v>DUT；IMAGE-MEDIA；MODEL-INVENTORY</x:v>
      </x:c>
      <x:c r="V147" s="4" t="str">
        <x:v>codex-ui-and-evidence</x:v>
      </x:c>
      <x:c r="W147" s="4" t="str"/>
      <x:c r="X147" s="4" t="str"/>
      <x:c r="Y147" s="4" t="str"/>
      <x:c r="Z147" s="4" t="str"/>
      <x:c r="AA147" s="4" t="str"/>
      <x:c r="AB147" s="4" t="str"/>
      <x:c r="AC147" s="4" t="str"/>
    </x:row>
    <x:row r="148" ht="53" customHeight="1">
      <x:c r="A148" s="17" t="str">
        <x:v>IMAGE-005</x:v>
      </x:c>
      <x:c r="B148" s="17" t="str">
        <x:v>J07</x:v>
      </x:c>
      <x:c r="C148" s="17" t="str">
        <x:v>图片分析与双图比对</x:v>
      </x:c>
      <x:c r="D148" s="17" t="str">
        <x:v>P0</x:v>
      </x:c>
      <x:c r="E148" s="17" t="str">
        <x:v>未命中无法判断和失败分离</x:v>
      </x:c>
      <x:c r="F148" s="17" t="str">
        <x:v>已安装图片场景依赖模型；需要底库的场景已绑定有效库；负图、空有效库、损坏图</x:v>
      </x:c>
      <x:c r="G148" s="17" t="str">
        <x:v>IMAGE-MEDIA；FACE-ZIP匿名副本；UNIFORM-IMAGE；场景正负样本</x:v>
      </x:c>
      <x:c r="H148" s="17" t="str">
        <x:v>1. 依次分析
2. 比较提示与outputs.reason
3. 查看节点信息</x:v>
      </x:c>
      <x:c r="I148" s="17" t="str">
        <x:v>三类状态不能混成零结果；无法判断不得反转为命中；缺绑定单独报配置错误。</x:v>
      </x:c>
      <x:c r="J148" s="17" t="str">
        <x:v>清理本轮上传与临时图片任务；恢复场景选择</x:v>
      </x:c>
      <x:c r="K148" s="17" t="str">
        <x:v>步骤观察、实际结果、证据文件与清理核对</x:v>
      </x:c>
      <x:c r="L148" s="17" t="str">
        <x:v>UI主操作＋API只读核对</x:v>
      </x:c>
      <x:c r="M148" s="17" t="str">
        <x:v>受影响模块回归</x:v>
      </x:c>
      <x:c r="N148" s="17" t="str">
        <x:v>目标设备具备该能力</x:v>
      </x:c>
      <x:c r="O148" s="17" t="str">
        <x:v>docs/guide/image-analysis.md；docs/reference/image-detection-api.md；src/web/src/views/gam/imageAnalysis</x:v>
      </x:c>
      <x:c r="P148" s="17" t="str">
        <x:v>未执行</x:v>
      </x:c>
      <x:c r="Q148" s="19" t="str"/>
      <x:c r="R148" s="17" t="str"/>
      <x:c r="S148" s="17" t="str"/>
      <x:c r="T148" s="17" t="n">
        <x:v>1</x:v>
      </x:c>
      <x:c r="U148" s="17" t="str">
        <x:v>DUT；IMAGE-MEDIA；MODEL-INVENTORY</x:v>
      </x:c>
      <x:c r="V148" s="17" t="str">
        <x:v>codex-ui-and-evidence</x:v>
      </x:c>
      <x:c r="W148" s="17" t="str"/>
      <x:c r="X148" s="17" t="str"/>
      <x:c r="Y148" s="17" t="str"/>
      <x:c r="Z148" s="17" t="str"/>
      <x:c r="AA148" s="17" t="str"/>
      <x:c r="AB148" s="17" t="str"/>
      <x:c r="AC148" s="17" t="str"/>
    </x:row>
    <x:row r="149" ht="53" customHeight="1">
      <x:c r="A149" s="4" t="str">
        <x:v>IMAGE-006</x:v>
      </x:c>
      <x:c r="B149" s="4" t="str">
        <x:v>J07</x:v>
      </x:c>
      <x:c r="C149" s="4" t="str">
        <x:v>图片分析与双图比对</x:v>
      </x:c>
      <x:c r="D149" s="4" t="str">
        <x:v>P1</x:v>
      </x:c>
      <x:c r="E149" s="4" t="str">
        <x:v>调试详情开关</x:v>
      </x:c>
      <x:c r="F149" s="4" t="str">
        <x:v>已安装图片场景依赖模型；需要底库的场景已绑定有效库</x:v>
      </x:c>
      <x:c r="G149" s="4" t="str">
        <x:v>IMAGE-MEDIA；FACE-ZIP匿名副本；UNIFORM-IMAGE；场景正负样本</x:v>
      </x:c>
      <x:c r="H149" s="4" t="str">
        <x:v>1. 关闭调试分析
2. 开启后重新分析
3. 查看节点输入输出耗时筛除原因</x:v>
      </x:c>
      <x:c r="I149" s="4" t="str">
        <x:v>对下一次分析生效；缺失上游能定位；调试信息不改变业务结论或泄露凭据。</x:v>
      </x:c>
      <x:c r="J149" s="4" t="str">
        <x:v>清理本轮上传与临时图片任务；恢复场景选择</x:v>
      </x:c>
      <x:c r="K149" s="4" t="str">
        <x:v>步骤观察、实际结果、证据文件与清理核对</x:v>
      </x:c>
      <x:c r="L149" s="4" t="str">
        <x:v>UI主操作＋API只读核对</x:v>
      </x:c>
      <x:c r="M149" s="4" t="str">
        <x:v>受影响模块回归</x:v>
      </x:c>
      <x:c r="N149" s="4" t="str">
        <x:v>目标设备具备该能力</x:v>
      </x:c>
      <x:c r="O149" s="4" t="str">
        <x:v>docs/guide/image-analysis.md；docs/reference/image-detection-api.md；src/web/src/views/gam/imageAnalysis</x:v>
      </x:c>
      <x:c r="P149" s="4" t="str">
        <x:v>未执行</x:v>
      </x:c>
      <x:c r="Q149" s="19" t="str"/>
      <x:c r="R149" s="12" t="str"/>
      <x:c r="S149" s="12" t="str"/>
      <x:c r="T149" s="4" t="n">
        <x:v>1</x:v>
      </x:c>
      <x:c r="U149" s="4" t="str">
        <x:v>DUT；IMAGE-MEDIA；MODEL-INVENTORY</x:v>
      </x:c>
      <x:c r="V149" s="4" t="str">
        <x:v>codex-ui-and-evidence</x:v>
      </x:c>
      <x:c r="W149" s="4" t="str"/>
      <x:c r="X149" s="4" t="str"/>
      <x:c r="Y149" s="4" t="str"/>
      <x:c r="Z149" s="4" t="str"/>
      <x:c r="AA149" s="4" t="str"/>
      <x:c r="AB149" s="4" t="str"/>
      <x:c r="AC149" s="4" t="str"/>
    </x:row>
    <x:row r="150" ht="80" customHeight="1">
      <x:c r="A150" s="17" t="str">
        <x:v>IMAGE-007</x:v>
      </x:c>
      <x:c r="B150" s="17" t="str">
        <x:v>J07</x:v>
      </x:c>
      <x:c r="C150" s="17" t="str">
        <x:v>图片分析与双图比对</x:v>
      </x:c>
      <x:c r="D150" s="17" t="str">
        <x:v>P1</x:v>
      </x:c>
      <x:c r="E150" s="17" t="str">
        <x:v>无区域图片语义</x:v>
      </x:c>
      <x:c r="F150" s="17" t="str">
        <x:v>已安装图片场景依赖模型；需要底库的场景已绑定有效库</x:v>
      </x:c>
      <x:c r="G150" s="17" t="str">
        <x:v>IMAGE-MEDIA；FACE-ZIP匿名副本；UNIFORM-IMAGE；场景正负样本</x:v>
      </x:c>
      <x:c r="H150" s="17" t="str">
        <x:v>1. 打开图片场景参数、编排及图片分析参数面板，确认无视频检测区域、屏蔽区域和布防配置。
2. 检查场景及节点参数声明，确认不暴露图片链路不支持的置信度偏移。
3. 保存并重新打开场景，只读回查默认及各配置版本，确认旧字段没有回流。
4. 尝试套用视频区域、跟踪和计时节点，核对无效语义提示；对照既有视频场景。</x:v>
      </x:c>
      <x:c r="I150" s="17" t="str">
        <x:v>图片场景不出现或不接受视频区域/时序语义及无效置信度偏移；保存重开后声明一致，直接置信度阈值保留。裁剪使用检测框；旧视频场景保持原样。OBB专项运行及阈值对照由ALG-38874覆盖。</x:v>
      </x:c>
      <x:c r="J150" s="17" t="str">
        <x:v>清理本轮上传与临时图片任务；恢复场景选择</x:v>
      </x:c>
      <x:c r="K150" s="17" t="str">
        <x:v>步骤观察、实际结果、证据文件与清理核对</x:v>
      </x:c>
      <x:c r="L150" s="17" t="str">
        <x:v>UI主操作＋API只读核对</x:v>
      </x:c>
      <x:c r="M150" s="17" t="str">
        <x:v>受影响模块回归</x:v>
      </x:c>
      <x:c r="N150" s="17" t="str">
        <x:v>目标设备具备该能力</x:v>
      </x:c>
      <x:c r="O150" s="17" t="str">
        <x:v>docs/guide/image-analysis.md；docs/reference/image-detection-api.md；src/web/src/views/gam/imageAnalysis</x:v>
      </x:c>
      <x:c r="P150" s="17" t="str">
        <x:v>未执行</x:v>
      </x:c>
      <x:c r="Q150" s="19" t="str"/>
      <x:c r="R150" s="17" t="str"/>
      <x:c r="S150" s="17" t="str"/>
      <x:c r="T150" s="17" t="n">
        <x:v>2</x:v>
      </x:c>
      <x:c r="U150" s="17" t="str">
        <x:v>DUT；IMAGE-MEDIA；MODEL-INVENTORY</x:v>
      </x:c>
      <x:c r="V150" s="17" t="str">
        <x:v>codex-ui-and-evidence</x:v>
      </x:c>
      <x:c r="W150" s="17" t="str"/>
      <x:c r="X150" s="17" t="str"/>
      <x:c r="Y150" s="17" t="str"/>
      <x:c r="Z150" s="17" t="str"/>
      <x:c r="AA150" s="17" t="str"/>
      <x:c r="AB150" s="17" t="str"/>
      <x:c r="AC150" s="17" t="str"/>
    </x:row>
    <x:row r="151" ht="68" customHeight="1">
      <x:c r="A151" s="4" t="str">
        <x:v>IMAGE-008</x:v>
      </x:c>
      <x:c r="B151" s="4" t="str">
        <x:v>J07</x:v>
      </x:c>
      <x:c r="C151" s="4" t="str">
        <x:v>图片分析与双图比对</x:v>
      </x:c>
      <x:c r="D151" s="4" t="str">
        <x:v>P0</x:v>
      </x:c>
      <x:c r="E151" s="4" t="str">
        <x:v>双图人脸与工服成功</x:v>
      </x:c>
      <x:c r="F151" s="4" t="str">
        <x:v>已安装图片场景依赖模型；需要底库的场景已绑定有效库；每侧恰一个有效目标，两个双图场景分别执行</x:v>
      </x:c>
      <x:c r="G151" s="4" t="str">
        <x:v>IMAGE-MEDIA；FACE-ZIP匿名副本；UNIFORM-IMAGE；场景正负样本</x:v>
      </x:c>
      <x:c r="H151" s="4" t="str">
        <x:v>1. 分别上传A与B
2. 开始比对
3. 查看原图裁剪和0–100分数
4. 交换A/B</x:v>
      </x:c>
      <x:c r="I151" s="4" t="str">
        <x:v>同模型同参数提特征；实际分数显示；交换后的变化按实现容差记录；不需要底库。</x:v>
      </x:c>
      <x:c r="J151" s="4" t="str">
        <x:v>清理本轮上传与临时图片任务；恢复场景选择</x:v>
      </x:c>
      <x:c r="K151" s="4" t="str">
        <x:v>步骤观察、实际结果、证据文件与清理核对</x:v>
      </x:c>
      <x:c r="L151" s="4" t="str">
        <x:v>UI主操作＋API只读核对</x:v>
      </x:c>
      <x:c r="M151" s="4" t="str">
        <x:v>每次变更冒烟</x:v>
      </x:c>
      <x:c r="N151" s="4" t="str">
        <x:v>目标设备具备该能力</x:v>
      </x:c>
      <x:c r="O151" s="4" t="str">
        <x:v>docs/guide/image-analysis.md；docs/reference/image-detection-api.md；src/web/src/views/gam/imageAnalysis</x:v>
      </x:c>
      <x:c r="P151" s="4" t="str">
        <x:v>未执行</x:v>
      </x:c>
      <x:c r="Q151" s="19" t="str"/>
      <x:c r="R151" s="12" t="str"/>
      <x:c r="S151" s="12" t="str"/>
      <x:c r="T151" s="4" t="n">
        <x:v>1</x:v>
      </x:c>
      <x:c r="U151" s="4" t="str">
        <x:v>DUT；IMAGE-MEDIA；MODEL-INVENTORY；FACE-TRUTH；UNIFORM-TRUTH</x:v>
      </x:c>
      <x:c r="V151" s="4" t="str">
        <x:v>codex-ui-and-evidence</x:v>
      </x:c>
      <x:c r="W151" s="4" t="str"/>
      <x:c r="X151" s="4" t="str"/>
      <x:c r="Y151" s="4" t="str"/>
      <x:c r="Z151" s="4" t="str"/>
      <x:c r="AA151" s="4" t="str"/>
      <x:c r="AB151" s="4" t="str"/>
      <x:c r="AC151" s="4" t="str"/>
    </x:row>
    <x:row r="152" ht="68" customHeight="1">
      <x:c r="A152" s="17" t="str">
        <x:v>IMAGE-009</x:v>
      </x:c>
      <x:c r="B152" s="17" t="str">
        <x:v>J07</x:v>
      </x:c>
      <x:c r="C152" s="17" t="str">
        <x:v>图片分析与双图比对</x:v>
      </x:c>
      <x:c r="D152" s="17" t="str">
        <x:v>P0</x:v>
      </x:c>
      <x:c r="E152" s="17" t="str">
        <x:v>双图阈值空值零和边界</x:v>
      </x:c>
      <x:c r="F152" s="17" t="str">
        <x:v>已安装图片场景依赖模型；需要底库的场景已绑定有效库；有可复现分数S的图对</x:v>
      </x:c>
      <x:c r="G152" s="17" t="str">
        <x:v>IMAGE-MEDIA；FACE-ZIP匿名副本；UNIFORM-IMAGE；场景正负样本</x:v>
      </x:c>
      <x:c r="H152" s="17" t="str">
        <x:v>1. 阈值留空
2. 设0、S、S附近及100
3. 输入范围外值
4. 清空</x:v>
      </x:c>
      <x:c r="I152" s="17" t="str">
        <x:v>空值只输出分数；分数≥阈值为命中；0分不被当空；非法范围拒绝；清空恢复分数模式。</x:v>
      </x:c>
      <x:c r="J152" s="17" t="str">
        <x:v>清理本轮上传与临时图片任务；恢复场景选择</x:v>
      </x:c>
      <x:c r="K152" s="17" t="str">
        <x:v>步骤观察、实际结果、证据文件与清理核对</x:v>
      </x:c>
      <x:c r="L152" s="17" t="str">
        <x:v>UI主操作＋API只读核对</x:v>
      </x:c>
      <x:c r="M152" s="17" t="str">
        <x:v>受影响模块回归</x:v>
      </x:c>
      <x:c r="N152" s="17" t="str">
        <x:v>目标设备具备该能力</x:v>
      </x:c>
      <x:c r="O152" s="17" t="str">
        <x:v>docs/guide/image-analysis.md；docs/reference/image-detection-api.md；src/web/src/views/gam/imageAnalysis</x:v>
      </x:c>
      <x:c r="P152" s="17" t="str">
        <x:v>未执行</x:v>
      </x:c>
      <x:c r="Q152" s="19" t="str"/>
      <x:c r="R152" s="17" t="str"/>
      <x:c r="S152" s="17" t="str"/>
      <x:c r="T152" s="17" t="n">
        <x:v>1</x:v>
      </x:c>
      <x:c r="U152" s="17" t="str">
        <x:v>DUT；IMAGE-MEDIA；MODEL-INVENTORY；FACE-TRUTH；UNIFORM-TRUTH</x:v>
      </x:c>
      <x:c r="V152" s="17" t="str">
        <x:v>codex-ui-and-evidence</x:v>
      </x:c>
      <x:c r="W152" s="17" t="str"/>
      <x:c r="X152" s="17" t="str"/>
      <x:c r="Y152" s="17" t="str"/>
      <x:c r="Z152" s="17" t="str"/>
      <x:c r="AA152" s="17" t="str"/>
      <x:c r="AB152" s="17" t="str"/>
      <x:c r="AC152" s="17" t="str"/>
    </x:row>
    <x:row r="153" ht="53" customHeight="1">
      <x:c r="A153" s="4" t="str">
        <x:v>IMAGE-010</x:v>
      </x:c>
      <x:c r="B153" s="4" t="str">
        <x:v>J07</x:v>
      </x:c>
      <x:c r="C153" s="4" t="str">
        <x:v>图片分析与双图比对</x:v>
      </x:c>
      <x:c r="D153" s="4" t="str">
        <x:v>P0</x:v>
      </x:c>
      <x:c r="E153" s="4" t="str">
        <x:v>双图缺侧无目标与多目标</x:v>
      </x:c>
      <x:c r="F153" s="4" t="str">
        <x:v>已安装图片场景依赖模型；需要底库的场景已绑定有效库；缺A/缺B、无脸/多脸、损坏图、无效特征</x:v>
      </x:c>
      <x:c r="G153" s="4" t="str">
        <x:v>IMAGE-MEDIA；FACE-ZIP匿名副本；UNIFORM-IMAGE；场景正负样本</x:v>
      </x:c>
      <x:c r="H153" s="4" t="str">
        <x:v>1. 逐种尝试
2. 更正出错侧
3. 再运行</x:v>
      </x:c>
      <x:c r="I153" s="4" t="str">
        <x:v>无两侧输入不能开始；错误指出出错侧和原因；不返回成功分数或上轮遗留结果。</x:v>
      </x:c>
      <x:c r="J153" s="4" t="str">
        <x:v>清理本轮上传与临时图片任务；恢复场景选择</x:v>
      </x:c>
      <x:c r="K153" s="4" t="str">
        <x:v>步骤观察、实际结果、证据文件与清理核对</x:v>
      </x:c>
      <x:c r="L153" s="4" t="str">
        <x:v>UI主操作＋API只读核对</x:v>
      </x:c>
      <x:c r="M153" s="4" t="str">
        <x:v>受影响模块回归</x:v>
      </x:c>
      <x:c r="N153" s="4" t="str">
        <x:v>目标设备具备该能力</x:v>
      </x:c>
      <x:c r="O153" s="4" t="str">
        <x:v>docs/guide/image-analysis.md；docs/reference/image-detection-api.md；src/web/src/views/gam/imageAnalysis</x:v>
      </x:c>
      <x:c r="P153" s="4" t="str">
        <x:v>未执行</x:v>
      </x:c>
      <x:c r="Q153" s="19" t="str"/>
      <x:c r="R153" s="12" t="str"/>
      <x:c r="S153" s="12" t="str"/>
      <x:c r="T153" s="4" t="n">
        <x:v>1</x:v>
      </x:c>
      <x:c r="U153" s="4" t="str">
        <x:v>DUT；IMAGE-MEDIA；MODEL-INVENTORY；FACE-TRUTH；UNIFORM-TRUTH</x:v>
      </x:c>
      <x:c r="V153" s="4" t="str">
        <x:v>codex-ui-and-evidence</x:v>
      </x:c>
      <x:c r="W153" s="4" t="str"/>
      <x:c r="X153" s="4" t="str"/>
      <x:c r="Y153" s="4" t="str"/>
      <x:c r="Z153" s="4" t="str"/>
      <x:c r="AA153" s="4" t="str"/>
      <x:c r="AB153" s="4" t="str"/>
      <x:c r="AC153" s="4" t="str"/>
    </x:row>
    <x:row r="154" ht="68" customHeight="1">
      <x:c r="A154" s="17" t="str">
        <x:v>IMAGE-011</x:v>
      </x:c>
      <x:c r="B154" s="17" t="str">
        <x:v>J07</x:v>
      </x:c>
      <x:c r="C154" s="17" t="str">
        <x:v>图片分析与双图比对</x:v>
      </x:c>
      <x:c r="D154" s="17" t="str">
        <x:v>P1</x:v>
      </x:c>
      <x:c r="E154" s="17" t="str">
        <x:v>替换图片与重复提交</x:v>
      </x:c>
      <x:c r="F154" s="17" t="str">
        <x:v>已安装图片场景依赖模型；需要底库的场景已绑定有效库</x:v>
      </x:c>
      <x:c r="G154" s="17" t="str">
        <x:v>IMAGE-MEDIA；FACE-ZIP匿名副本；UNIFORM-IMAGE；场景正负样本</x:v>
      </x:c>
      <x:c r="H154" s="17" t="str">
        <x:v>1. 分析中重复点击
2. 完成后换图或参数
3. 再分析
4. 删除图片</x:v>
      </x:c>
      <x:c r="I154" s="17" t="str">
        <x:v>无重复临时任务和串结果；新结果对应新输入；清空后不展示旧命中为当前结果。</x:v>
      </x:c>
      <x:c r="J154" s="17" t="str">
        <x:v>清理本轮上传与临时图片任务；恢复场景选择</x:v>
      </x:c>
      <x:c r="K154" s="17" t="str">
        <x:v>步骤观察、实际结果、证据文件与清理核对</x:v>
      </x:c>
      <x:c r="L154" s="17" t="str">
        <x:v>UI主操作＋API只读核对</x:v>
      </x:c>
      <x:c r="M154" s="17" t="str">
        <x:v>受影响模块回归</x:v>
      </x:c>
      <x:c r="N154" s="17" t="str">
        <x:v>目标设备具备该能力</x:v>
      </x:c>
      <x:c r="O154" s="17" t="str">
        <x:v>docs/guide/image-analysis.md；docs/reference/image-detection-api.md；src/web/src/views/gam/imageAnalysis</x:v>
      </x:c>
      <x:c r="P154" s="17" t="str">
        <x:v>未执行</x:v>
      </x:c>
      <x:c r="Q154" s="19" t="str"/>
      <x:c r="R154" s="17" t="str"/>
      <x:c r="S154" s="17" t="str"/>
      <x:c r="T154" s="17" t="n">
        <x:v>1</x:v>
      </x:c>
      <x:c r="U154" s="17" t="str">
        <x:v>DUT；IMAGE-MEDIA；MODEL-INVENTORY</x:v>
      </x:c>
      <x:c r="V154" s="17" t="str">
        <x:v>codex-ui-and-evidence</x:v>
      </x:c>
      <x:c r="W154" s="17" t="str"/>
      <x:c r="X154" s="17" t="str"/>
      <x:c r="Y154" s="17" t="str"/>
      <x:c r="Z154" s="17" t="str"/>
      <x:c r="AA154" s="17" t="str"/>
      <x:c r="AB154" s="17" t="str"/>
      <x:c r="AC154" s="17" t="str"/>
    </x:row>
    <x:row r="155" ht="68" customHeight="1">
      <x:c r="A155" s="4" t="str">
        <x:v>IMAGE-012</x:v>
      </x:c>
      <x:c r="B155" s="4" t="str">
        <x:v>J07</x:v>
      </x:c>
      <x:c r="C155" s="4" t="str">
        <x:v>图片分析与双图比对</x:v>
      </x:c>
      <x:c r="D155" s="4" t="str">
        <x:v>P1</x:v>
      </x:c>
      <x:c r="E155" s="4" t="str">
        <x:v>图片容量分辨率与格式</x:v>
      </x:c>
      <x:c r="F155" s="4" t="str">
        <x:v>已安装图片场景依赖模型；需要底库的场景已绑定有效库；能力接口边界图片、JPEG PNG及不支持格式</x:v>
      </x:c>
      <x:c r="G155" s="4" t="str">
        <x:v>IMAGE-MEDIA；FACE-ZIP匿名副本；UNIFORM-IMAGE；场景正负样本</x:v>
      </x:c>
      <x:c r="H155" s="4" t="str">
        <x:v>1. 查询图片能力
2. 测边界内外编码大小/像素
3. 测伪后缀
4. 再用正常图</x:v>
      </x:c>
      <x:c r="I155" s="4" t="str">
        <x:v>按当前设备能力判定；明确IMAGE_INPUT/RESOLUTION_TOO_LARGE及改图建议；正常输入可恢复。</x:v>
      </x:c>
      <x:c r="J155" s="4" t="str">
        <x:v>清理本轮上传与临时图片任务；恢复场景选择</x:v>
      </x:c>
      <x:c r="K155" s="4" t="str">
        <x:v>步骤观察、实际结果、证据文件与清理核对</x:v>
      </x:c>
      <x:c r="L155" s="4" t="str">
        <x:v>UI主操作＋API只读核对</x:v>
      </x:c>
      <x:c r="M155" s="4" t="str">
        <x:v>受影响模块回归</x:v>
      </x:c>
      <x:c r="N155" s="4" t="str">
        <x:v>目标设备具备该能力</x:v>
      </x:c>
      <x:c r="O155" s="4" t="str">
        <x:v>docs/guide/image-analysis.md；docs/reference/image-detection-api.md；src/web/src/views/gam/imageAnalysis</x:v>
      </x:c>
      <x:c r="P155" s="4" t="str">
        <x:v>未执行</x:v>
      </x:c>
      <x:c r="Q155" s="19" t="str"/>
      <x:c r="R155" s="12" t="str"/>
      <x:c r="S155" s="12" t="str"/>
      <x:c r="T155" s="4" t="n">
        <x:v>1</x:v>
      </x:c>
      <x:c r="U155" s="4" t="str">
        <x:v>DUT；IMAGE-MEDIA；MODEL-INVENTORY</x:v>
      </x:c>
      <x:c r="V155" s="4" t="str">
        <x:v>codex-ui-and-evidence</x:v>
      </x:c>
      <x:c r="W155" s="4" t="str"/>
      <x:c r="X155" s="4" t="str"/>
      <x:c r="Y155" s="4" t="str"/>
      <x:c r="Z155" s="4" t="str"/>
      <x:c r="AA155" s="4" t="str"/>
      <x:c r="AB155" s="4" t="str"/>
      <x:c r="AC155" s="4" t="str"/>
    </x:row>
    <x:row r="156" ht="98" customHeight="1">
      <x:c r="A156" s="17" t="str">
        <x:v>IMAGE-013</x:v>
      </x:c>
      <x:c r="B156" s="17" t="str">
        <x:v>J07</x:v>
      </x:c>
      <x:c r="C156" s="17" t="str">
        <x:v>图片分析与双图比对</x:v>
      </x:c>
      <x:c r="D156" s="17" t="str">
        <x:v>P0</x:v>
      </x:c>
      <x:c r="E156" s="17" t="str">
        <x:v>图片接口完整生命周期</x:v>
      </x:c>
      <x:c r="F156" s="17" t="str">
        <x:v>已安装图片场景依赖模型；需要底库的场景已绑定有效库；同步API调用工具</x:v>
      </x:c>
      <x:c r="G156" s="17" t="str">
        <x:v>IMAGE-MEDIA；FACE-ZIP匿名副本；UNIFORM-IMAGE；场景正负样本</x:v>
      </x:c>
      <x:c r="H156" s="17" t="str">
        <x:v>1. 上传
2. PTaskCreate
3. PTaskDetectPic
4. PTaskCancle
5. 重复取消
6. 查任务与空间</x:v>
      </x:c>
      <x:c r="I156" s="17" t="str">
        <x:v>结果契约完整；取消释放资源；图片输出不自动生成视频事件或外推；UI与API语义一致。</x:v>
      </x:c>
      <x:c r="J156" s="17" t="str">
        <x:v>清理本轮上传与临时图片任务；恢复场景选择</x:v>
      </x:c>
      <x:c r="K156" s="17" t="str">
        <x:v>步骤观察、实际结果、证据文件与清理核对</x:v>
      </x:c>
      <x:c r="L156" s="17" t="str">
        <x:v>UI主操作＋API只读核对</x:v>
      </x:c>
      <x:c r="M156" s="17" t="str">
        <x:v>受影响模块回归</x:v>
      </x:c>
      <x:c r="N156" s="17" t="str">
        <x:v>目标设备具备该能力</x:v>
      </x:c>
      <x:c r="O156" s="17" t="str">
        <x:v>docs/guide/image-analysis.md；docs/reference/image-detection-api.md；src/web/src/views/gam/imageAnalysis</x:v>
      </x:c>
      <x:c r="P156" s="17" t="str">
        <x:v>未执行</x:v>
      </x:c>
      <x:c r="Q156" s="19" t="str"/>
      <x:c r="R156" s="17" t="str"/>
      <x:c r="S156" s="17" t="str"/>
      <x:c r="T156" s="17" t="n">
        <x:v>1</x:v>
      </x:c>
      <x:c r="U156" s="17" t="str">
        <x:v>DUT；IMAGE-MEDIA；MODEL-INVENTORY</x:v>
      </x:c>
      <x:c r="V156" s="17" t="str">
        <x:v>codex-ui-and-evidence</x:v>
      </x:c>
      <x:c r="W156" s="17" t="str"/>
      <x:c r="X156" s="17" t="str"/>
      <x:c r="Y156" s="17" t="str"/>
      <x:c r="Z156" s="17" t="str"/>
      <x:c r="AA156" s="17" t="str"/>
      <x:c r="AB156" s="17" t="str"/>
      <x:c r="AC156" s="17" t="str"/>
    </x:row>
    <x:row r="157" ht="53" customHeight="1">
      <x:c r="A157" s="4" t="str">
        <x:v>MODEL-001</x:v>
      </x:c>
      <x:c r="B157" s="4" t="str">
        <x:v>J03</x:v>
      </x:c>
      <x:c r="C157" s="4" t="str">
        <x:v>模型仓库与授权</x:v>
      </x:c>
      <x:c r="D157" s="4" t="str">
        <x:v>P0</x:v>
      </x:c>
      <x:c r="E157" s="4" t="str">
        <x:v>模型列表分类详情与状态</x:v>
      </x:c>
      <x:c r="F157" s="4" t="str">
        <x:v>已测目标芯片；只操作本轮可删除模型副本</x:v>
      </x:c>
      <x:c r="G157" s="4" t="str">
        <x:v>目标专用合法模型包；坏包；不同目标包；Protected证书待补</x:v>
      </x:c>
      <x:c r="H157" s="4" t="str">
        <x:v>1. 进入模型仓库
2. 按类型筛选
3. 查看模型代码说明类别阈值和加载状态</x:v>
      </x:c>
      <x:c r="I157" s="4" t="str">
        <x:v>列表详情一致；预置与用户模型可区分；缺模型或加载失败不显示可用。</x:v>
      </x:c>
      <x:c r="J157" s="4" t="str">
        <x:v>解绑场景后删除本轮模型；还原参数；保留原模型</x:v>
      </x:c>
      <x:c r="K157" s="4" t="str">
        <x:v>步骤观察、实际结果、证据文件与清理核对</x:v>
      </x:c>
      <x:c r="L157" s="4" t="str">
        <x:v>UI主操作＋API只读核对</x:v>
      </x:c>
      <x:c r="M157" s="4" t="str">
        <x:v>每次变更冒烟</x:v>
      </x:c>
      <x:c r="N157" s="4" t="str">
        <x:v>目标设备具备该能力</x:v>
      </x:c>
      <x:c r="O157" s="4" t="str">
        <x:v>src/web/src/views/gam/countManagement/atomicModel/index.vue；docs/guide/test-cases.md；docs/reference/api.md</x:v>
      </x:c>
      <x:c r="P157" s="4" t="str">
        <x:v>未执行</x:v>
      </x:c>
      <x:c r="Q157" s="19" t="str"/>
      <x:c r="R157" s="12" t="str"/>
      <x:c r="S157" s="12" t="str"/>
      <x:c r="T157" s="4" t="n">
        <x:v>1</x:v>
      </x:c>
      <x:c r="U157" s="4" t="str">
        <x:v>DUT；MODEL-INVENTORY</x:v>
      </x:c>
      <x:c r="V157" s="4" t="str">
        <x:v>codex-ui-and-evidence</x:v>
      </x:c>
      <x:c r="W157" s="4" t="str"/>
      <x:c r="X157" s="4" t="str"/>
      <x:c r="Y157" s="4" t="str"/>
      <x:c r="Z157" s="4" t="str"/>
      <x:c r="AA157" s="4" t="str"/>
      <x:c r="AB157" s="4" t="str"/>
      <x:c r="AC157" s="4" t="str"/>
    </x:row>
    <x:row r="158" ht="68" customHeight="1">
      <x:c r="A158" s="17" t="str">
        <x:v>MODEL-002</x:v>
      </x:c>
      <x:c r="B158" s="17" t="str">
        <x:v>J03</x:v>
      </x:c>
      <x:c r="C158" s="17" t="str">
        <x:v>模型仓库与授权</x:v>
      </x:c>
      <x:c r="D158" s="17" t="str">
        <x:v>P0</x:v>
      </x:c>
      <x:c r="E158" s="17" t="str">
        <x:v>新增目标兼容模型</x:v>
      </x:c>
      <x:c r="F158" s="17" t="str">
        <x:v>已测目标芯片；只操作本轮可删除模型副本；合法配置与配套文件齐全</x:v>
      </x:c>
      <x:c r="G158" s="17" t="str">
        <x:v>目标专用合法模型包；坏包；不同目标包；Protected证书待补</x:v>
      </x:c>
      <x:c r="H158" s="17" t="str">
        <x:v>1. 点击新增选类型名称
2. 上传本机支持模型及元数据
3. 保存
4. 建场景跑正负样本</x:v>
      </x:c>
      <x:c r="I158" s="17" t="str">
        <x:v>不仅上传成功，模型确实加载且输出可解释；ONNX/BMRT/RKNN后端不混用。</x:v>
      </x:c>
      <x:c r="J158" s="17" t="str">
        <x:v>解绑场景后删除本轮模型；还原参数；保留原模型</x:v>
      </x:c>
      <x:c r="K158" s="17" t="str">
        <x:v>步骤观察、实际结果、证据文件与清理核对</x:v>
      </x:c>
      <x:c r="L158" s="17" t="str">
        <x:v>UI主操作＋API只读核对</x:v>
      </x:c>
      <x:c r="M158" s="17" t="str">
        <x:v>受影响模块回归</x:v>
      </x:c>
      <x:c r="N158" s="17" t="str">
        <x:v>目标设备具备该能力</x:v>
      </x:c>
      <x:c r="O158" s="17" t="str">
        <x:v>src/web/src/views/gam/countManagement/atomicModel/index.vue；docs/guide/test-cases.md；docs/reference/api.md</x:v>
      </x:c>
      <x:c r="P158" s="17" t="str">
        <x:v>未执行</x:v>
      </x:c>
      <x:c r="Q158" s="19" t="str"/>
      <x:c r="R158" s="17" t="str"/>
      <x:c r="S158" s="17" t="str"/>
      <x:c r="T158" s="17" t="n">
        <x:v>1</x:v>
      </x:c>
      <x:c r="U158" s="17" t="str">
        <x:v>DUT；MODEL-INVENTORY；MODEL-PACKAGES</x:v>
      </x:c>
      <x:c r="V158" s="17" t="str">
        <x:v>codex-ui-and-evidence</x:v>
      </x:c>
      <x:c r="W158" s="17" t="str"/>
      <x:c r="X158" s="17" t="str"/>
      <x:c r="Y158" s="17" t="str"/>
      <x:c r="Z158" s="17" t="str"/>
      <x:c r="AA158" s="17" t="str"/>
      <x:c r="AB158" s="17" t="str"/>
      <x:c r="AC158" s="17" t="str"/>
    </x:row>
    <x:row r="159" ht="68" customHeight="1">
      <x:c r="A159" s="4" t="str">
        <x:v>MODEL-003</x:v>
      </x:c>
      <x:c r="B159" s="4" t="str">
        <x:v>J03</x:v>
      </x:c>
      <x:c r="C159" s="4" t="str">
        <x:v>模型仓库与授权</x:v>
      </x:c>
      <x:c r="D159" s="4" t="str">
        <x:v>P1</x:v>
      </x:c>
      <x:c r="E159" s="4" t="str">
        <x:v>模型归档导入导出回读</x:v>
      </x:c>
      <x:c r="F159" s="4" t="str">
        <x:v>已测目标芯片；只操作本轮可删除模型副本；允许导出的用户模型</x:v>
      </x:c>
      <x:c r="G159" s="4" t="str">
        <x:v>目标专用合法模型包；坏包；不同目标包；Protected证书待补</x:v>
      </x:c>
      <x:c r="H159" s="4" t="str">
        <x:v>1. 导出模型
2. 校验归档
3. 隔离实例导入
4. 对比配置和固定输出</x:v>
      </x:c>
      <x:c r="I159" s="4" t="str">
        <x:v>受管文件下载完整；元数据与依赖无丢失；导入后可推理。</x:v>
      </x:c>
      <x:c r="J159" s="4" t="str">
        <x:v>解绑场景后删除本轮模型；还原参数；保留原模型</x:v>
      </x:c>
      <x:c r="K159" s="4" t="str">
        <x:v>步骤观察、实际结果、证据文件与清理核对</x:v>
      </x:c>
      <x:c r="L159" s="4" t="str">
        <x:v>UI主操作＋API只读核对</x:v>
      </x:c>
      <x:c r="M159" s="4" t="str">
        <x:v>受影响模块回归</x:v>
      </x:c>
      <x:c r="N159" s="4" t="str">
        <x:v>目标设备具备该能力</x:v>
      </x:c>
      <x:c r="O159" s="4" t="str">
        <x:v>src/web/src/views/gam/countManagement/atomicModel/index.vue；docs/guide/test-cases.md；docs/reference/api.md</x:v>
      </x:c>
      <x:c r="P159" s="4" t="str">
        <x:v>未执行</x:v>
      </x:c>
      <x:c r="Q159" s="19" t="str"/>
      <x:c r="R159" s="12" t="str"/>
      <x:c r="S159" s="12" t="str"/>
      <x:c r="T159" s="4" t="n">
        <x:v>1</x:v>
      </x:c>
      <x:c r="U159" s="4" t="str">
        <x:v>DUT；MODEL-INVENTORY；MODEL-PACKAGES</x:v>
      </x:c>
      <x:c r="V159" s="4" t="str">
        <x:v>codex-ui-and-evidence</x:v>
      </x:c>
      <x:c r="W159" s="4" t="str"/>
      <x:c r="X159" s="4" t="str"/>
      <x:c r="Y159" s="4" t="str"/>
      <x:c r="Z159" s="4" t="str"/>
      <x:c r="AA159" s="4" t="str"/>
      <x:c r="AB159" s="4" t="str"/>
      <x:c r="AC159" s="4" t="str"/>
    </x:row>
    <x:row r="160" ht="38" customHeight="1">
      <x:c r="A160" s="17" t="str">
        <x:v>MODEL-004</x:v>
      </x:c>
      <x:c r="B160" s="17" t="str">
        <x:v>J03</x:v>
      </x:c>
      <x:c r="C160" s="17" t="str">
        <x:v>模型仓库与授权</x:v>
      </x:c>
      <x:c r="D160" s="17" t="str">
        <x:v>P0</x:v>
      </x:c>
      <x:c r="E160" s="17" t="str">
        <x:v>预置加密和绑定模型导出</x:v>
      </x:c>
      <x:c r="F160" s="17" t="str">
        <x:v>已测目标芯片；只操作本轮可删除模型副本</x:v>
      </x:c>
      <x:c r="G160" s="17" t="str">
        <x:v>目标专用合法模型包；坏包；不同目标包；Protected证书待补</x:v>
      </x:c>
      <x:c r="H160" s="17" t="str">
        <x:v>1. 尝试导出各类受保护模型
2. 再导出普通用户模型</x:v>
      </x:c>
      <x:c r="I160" s="17" t="str">
        <x:v>受限模型明确DefaultCantBeExport；不是文件大小限制；普通可导出模型正常。</x:v>
      </x:c>
      <x:c r="J160" s="17" t="str">
        <x:v>解绑场景后删除本轮模型；还原参数；保留原模型</x:v>
      </x:c>
      <x:c r="K160" s="17" t="str">
        <x:v>步骤观察、实际结果、证据文件与清理核对</x:v>
      </x:c>
      <x:c r="L160" s="17" t="str">
        <x:v>UI主操作＋API只读核对</x:v>
      </x:c>
      <x:c r="M160" s="17" t="str">
        <x:v>受影响模块回归</x:v>
      </x:c>
      <x:c r="N160" s="17" t="str">
        <x:v>目标设备具备该能力</x:v>
      </x:c>
      <x:c r="O160" s="17" t="str">
        <x:v>src/web/src/views/gam/countManagement/atomicModel/index.vue；docs/guide/test-cases.md；docs/reference/api.md</x:v>
      </x:c>
      <x:c r="P160" s="17" t="str">
        <x:v>未执行</x:v>
      </x:c>
      <x:c r="Q160" s="19" t="str"/>
      <x:c r="R160" s="17" t="str"/>
      <x:c r="S160" s="17" t="str"/>
      <x:c r="T160" s="17" t="n">
        <x:v>1</x:v>
      </x:c>
      <x:c r="U160" s="17" t="str">
        <x:v>DUT；MODEL-INVENTORY；PROTECTED-ASSETS</x:v>
      </x:c>
      <x:c r="V160" s="17" t="str">
        <x:v>codex-ui-and-evidence</x:v>
      </x:c>
      <x:c r="W160" s="17" t="str"/>
      <x:c r="X160" s="17" t="str"/>
      <x:c r="Y160" s="17" t="str"/>
      <x:c r="Z160" s="17" t="str"/>
      <x:c r="AA160" s="17" t="str"/>
      <x:c r="AB160" s="17" t="str"/>
      <x:c r="AC160" s="17" t="str"/>
    </x:row>
    <x:row r="161" ht="53" customHeight="1">
      <x:c r="A161" s="4" t="str">
        <x:v>MODEL-005</x:v>
      </x:c>
      <x:c r="B161" s="4" t="str">
        <x:v>J03</x:v>
      </x:c>
      <x:c r="C161" s="4" t="str">
        <x:v>模型仓库与授权</x:v>
      </x:c>
      <x:c r="D161" s="4" t="str">
        <x:v>P0</x:v>
      </x:c>
      <x:c r="E161" s="4" t="str">
        <x:v>错误芯片与伪装模型</x:v>
      </x:c>
      <x:c r="F161" s="4" t="str">
        <x:v>已测目标芯片；只操作本轮可删除模型副本；已隔离的不匹配产物</x:v>
      </x:c>
      <x:c r="G161" s="4" t="str">
        <x:v>目标专用合法模型包；坏包；不同目标包；Protected证书待补</x:v>
      </x:c>
      <x:c r="H161" s="4" t="str">
        <x:v>1. 导入另一芯片包
2. 把bmodel重命名nn尝试
3. 用不匹配后端文件加载</x:v>
      </x:c>
      <x:c r="I161" s="4" t="str">
        <x:v>明确预检或初始化失败；无静默假成功；重命名不能替代CENN封装。</x:v>
      </x:c>
      <x:c r="J161" s="4" t="str">
        <x:v>解绑场景后删除本轮模型；还原参数；保留原模型</x:v>
      </x:c>
      <x:c r="K161" s="4" t="str">
        <x:v>步骤观察、实际结果、证据文件与清理核对</x:v>
      </x:c>
      <x:c r="L161" s="4" t="str">
        <x:v>UI主操作＋API只读核对</x:v>
      </x:c>
      <x:c r="M161" s="4" t="str">
        <x:v>受影响模块回归</x:v>
      </x:c>
      <x:c r="N161" s="4" t="str">
        <x:v>目标设备具备该能力</x:v>
      </x:c>
      <x:c r="O161" s="4" t="str">
        <x:v>src/web/src/views/gam/countManagement/atomicModel/index.vue；docs/guide/test-cases.md；docs/reference/api.md</x:v>
      </x:c>
      <x:c r="P161" s="4" t="str">
        <x:v>未执行</x:v>
      </x:c>
      <x:c r="Q161" s="19" t="str"/>
      <x:c r="R161" s="12" t="str"/>
      <x:c r="S161" s="12" t="str"/>
      <x:c r="T161" s="4" t="n">
        <x:v>1</x:v>
      </x:c>
      <x:c r="U161" s="4" t="str">
        <x:v>DUT；MODEL-INVENTORY；MODEL-PACKAGES</x:v>
      </x:c>
      <x:c r="V161" s="4" t="str">
        <x:v>codex-ui-and-evidence</x:v>
      </x:c>
      <x:c r="W161" s="4" t="str"/>
      <x:c r="X161" s="4" t="str"/>
      <x:c r="Y161" s="4" t="str"/>
      <x:c r="Z161" s="4" t="str"/>
      <x:c r="AA161" s="4" t="str"/>
      <x:c r="AB161" s="4" t="str"/>
      <x:c r="AC161" s="4" t="str"/>
    </x:row>
    <x:row r="162" ht="53" customHeight="1">
      <x:c r="A162" s="17" t="str">
        <x:v>MODEL-006</x:v>
      </x:c>
      <x:c r="B162" s="17" t="str">
        <x:v>J03</x:v>
      </x:c>
      <x:c r="C162" s="17" t="str">
        <x:v>模型仓库与授权</x:v>
      </x:c>
      <x:c r="D162" s="17" t="str">
        <x:v>P0</x:v>
      </x:c>
      <x:c r="E162" s="17" t="str">
        <x:v>模型辅助文件完整性</x:v>
      </x:c>
      <x:c r="F162" s="17" t="str">
        <x:v>已测目标芯片；只操作本轮可删除模型副本；DINO/SAM/OCR/Qwen适用模型</x:v>
      </x:c>
      <x:c r="G162" s="17" t="str">
        <x:v>目标专用合法模型包；坏包；不同目标包；Protected证书待补</x:v>
      </x:c>
      <x:c r="H162" s="17" t="str">
        <x:v>1. 按类型新增
2. 分别缺vocab、encoder/decoder、字符表或tokenizer
3. 补齐重试</x:v>
      </x:c>
      <x:c r="I162" s="17" t="str">
        <x:v>必需组件缺失有具体提示；补齐后加载与固定样本输出通过；不要求所有芯片都支持所有模型。</x:v>
      </x:c>
      <x:c r="J162" s="17" t="str">
        <x:v>解绑场景后删除本轮模型；还原参数；保留原模型</x:v>
      </x:c>
      <x:c r="K162" s="17" t="str">
        <x:v>步骤观察、实际结果、证据文件与清理核对</x:v>
      </x:c>
      <x:c r="L162" s="17" t="str">
        <x:v>UI主操作＋API只读核对</x:v>
      </x:c>
      <x:c r="M162" s="17" t="str">
        <x:v>受影响模块回归</x:v>
      </x:c>
      <x:c r="N162" s="17" t="str">
        <x:v>目标设备具备该能力</x:v>
      </x:c>
      <x:c r="O162" s="17" t="str">
        <x:v>src/web/src/views/gam/countManagement/atomicModel/index.vue；docs/guide/test-cases.md；docs/reference/api.md</x:v>
      </x:c>
      <x:c r="P162" s="17" t="str">
        <x:v>未执行</x:v>
      </x:c>
      <x:c r="Q162" s="19" t="str"/>
      <x:c r="R162" s="17" t="str"/>
      <x:c r="S162" s="17" t="str"/>
      <x:c r="T162" s="17" t="n">
        <x:v>1</x:v>
      </x:c>
      <x:c r="U162" s="17" t="str">
        <x:v>DUT；MODEL-INVENTORY；MODEL-PACKAGES</x:v>
      </x:c>
      <x:c r="V162" s="17" t="str">
        <x:v>codex-ui-and-evidence</x:v>
      </x:c>
      <x:c r="W162" s="17" t="str"/>
      <x:c r="X162" s="17" t="str"/>
      <x:c r="Y162" s="17" t="str"/>
      <x:c r="Z162" s="17" t="str"/>
      <x:c r="AA162" s="17" t="str"/>
      <x:c r="AB162" s="17" t="str"/>
      <x:c r="AC162" s="17" t="str"/>
    </x:row>
    <x:row r="163" ht="68" customHeight="1">
      <x:c r="A163" s="4" t="str">
        <x:v>MODEL-007</x:v>
      </x:c>
      <x:c r="B163" s="4" t="str">
        <x:v>J03</x:v>
      </x:c>
      <x:c r="C163" s="4" t="str">
        <x:v>模型仓库与授权</x:v>
      </x:c>
      <x:c r="D163" s="4" t="str">
        <x:v>P1</x:v>
      </x:c>
      <x:c r="E163" s="4" t="str">
        <x:v>配置变更与类别映射</x:v>
      </x:c>
      <x:c r="F163" s="4" t="str">
        <x:v>已测目标芯片；只操作本轮可删除模型副本；用户模型副本</x:v>
      </x:c>
      <x:c r="G163" s="4" t="str">
        <x:v>目标专用合法模型包；坏包；不同目标包；Protected证书待补</x:v>
      </x:c>
      <x:c r="H163" s="4" t="str">
        <x:v>1. 修改名称说明
2. 调整合法预处理/后处理
3. 保存
4. 固定样本验证并恢复</x:v>
      </x:c>
      <x:c r="I163" s="4" t="str">
        <x:v>模型ID引用稳定；类别顺序与结果一致；不只验证界面读回。</x:v>
      </x:c>
      <x:c r="J163" s="4" t="str">
        <x:v>解绑场景后删除本轮模型；还原参数；保留原模型</x:v>
      </x:c>
      <x:c r="K163" s="4" t="str">
        <x:v>步骤观察、实际结果、证据文件与清理核对</x:v>
      </x:c>
      <x:c r="L163" s="4" t="str">
        <x:v>UI主操作＋API只读核对</x:v>
      </x:c>
      <x:c r="M163" s="4" t="str">
        <x:v>受影响模块回归</x:v>
      </x:c>
      <x:c r="N163" s="4" t="str">
        <x:v>目标设备具备该能力</x:v>
      </x:c>
      <x:c r="O163" s="4" t="str">
        <x:v>src/web/src/views/gam/countManagement/atomicModel/index.vue；docs/guide/test-cases.md；docs/reference/api.md</x:v>
      </x:c>
      <x:c r="P163" s="4" t="str">
        <x:v>未执行</x:v>
      </x:c>
      <x:c r="Q163" s="19" t="str"/>
      <x:c r="R163" s="12" t="str"/>
      <x:c r="S163" s="12" t="str"/>
      <x:c r="T163" s="4" t="n">
        <x:v>1</x:v>
      </x:c>
      <x:c r="U163" s="4" t="str">
        <x:v>DUT；MODEL-INVENTORY；MODEL-PACKAGES</x:v>
      </x:c>
      <x:c r="V163" s="4" t="str">
        <x:v>codex-ui-and-evidence</x:v>
      </x:c>
      <x:c r="W163" s="4" t="str"/>
      <x:c r="X163" s="4" t="str"/>
      <x:c r="Y163" s="4" t="str"/>
      <x:c r="Z163" s="4" t="str"/>
      <x:c r="AA163" s="4" t="str"/>
      <x:c r="AB163" s="4" t="str"/>
      <x:c r="AC163" s="4" t="str"/>
    </x:row>
    <x:row r="164" ht="53" customHeight="1">
      <x:c r="A164" s="17" t="str">
        <x:v>MODEL-008</x:v>
      </x:c>
      <x:c r="B164" s="17" t="str">
        <x:v>J03</x:v>
      </x:c>
      <x:c r="C164" s="17" t="str">
        <x:v>模型仓库与授权</x:v>
      </x:c>
      <x:c r="D164" s="17" t="str">
        <x:v>P0</x:v>
      </x:c>
      <x:c r="E164" s="17" t="str">
        <x:v>删除在用模型和取消</x:v>
      </x:c>
      <x:c r="F164" s="17" t="str">
        <x:v>已测目标芯片；只操作本轮可删除模型副本；本轮模型有引用</x:v>
      </x:c>
      <x:c r="G164" s="17" t="str">
        <x:v>目标专用合法模型包；坏包；不同目标包；Protected证书待补</x:v>
      </x:c>
      <x:c r="H164" s="17" t="str">
        <x:v>1. 取消删除
2. 确认删除在用模型
3. 按依赖处理解绑后重试</x:v>
      </x:c>
      <x:c r="I164" s="17" t="str">
        <x:v>依赖提示明确；不导致其他任务崩溃；不得无提示留下运行状态正常的缺模型场景。</x:v>
      </x:c>
      <x:c r="J164" s="17" t="str">
        <x:v>解绑场景后删除本轮模型；还原参数；保留原模型</x:v>
      </x:c>
      <x:c r="K164" s="17" t="str">
        <x:v>步骤观察、实际结果、证据文件与清理核对</x:v>
      </x:c>
      <x:c r="L164" s="17" t="str">
        <x:v>UI主操作＋API只读核对</x:v>
      </x:c>
      <x:c r="M164" s="17" t="str">
        <x:v>受影响模块回归</x:v>
      </x:c>
      <x:c r="N164" s="17" t="str">
        <x:v>目标设备具备该能力</x:v>
      </x:c>
      <x:c r="O164" s="17" t="str">
        <x:v>src/web/src/views/gam/countManagement/atomicModel/index.vue；docs/guide/test-cases.md；docs/reference/api.md</x:v>
      </x:c>
      <x:c r="P164" s="17" t="str">
        <x:v>未执行</x:v>
      </x:c>
      <x:c r="Q164" s="19" t="str"/>
      <x:c r="R164" s="17" t="str"/>
      <x:c r="S164" s="17" t="str"/>
      <x:c r="T164" s="17" t="n">
        <x:v>1</x:v>
      </x:c>
      <x:c r="U164" s="17" t="str">
        <x:v>DUT；MODEL-INVENTORY；MODEL-PACKAGES</x:v>
      </x:c>
      <x:c r="V164" s="17" t="str">
        <x:v>codex-ui-and-evidence</x:v>
      </x:c>
      <x:c r="W164" s="17" t="str"/>
      <x:c r="X164" s="17" t="str"/>
      <x:c r="Y164" s="17" t="str"/>
      <x:c r="Z164" s="17" t="str"/>
      <x:c r="AA164" s="17" t="str"/>
      <x:c r="AB164" s="17" t="str"/>
      <x:c r="AC164" s="17" t="str"/>
    </x:row>
    <x:row r="165" ht="53" customHeight="1">
      <x:c r="A165" s="4" t="str">
        <x:v>MODEL-009</x:v>
      </x:c>
      <x:c r="B165" s="4" t="str">
        <x:v>J03</x:v>
      </x:c>
      <x:c r="C165" s="4" t="str">
        <x:v>模型仓库与授权</x:v>
      </x:c>
      <x:c r="D165" s="4" t="str">
        <x:v>P0</x:v>
      </x:c>
      <x:c r="E165" s="4" t="str">
        <x:v>损坏归档与空间不足</x:v>
      </x:c>
      <x:c r="F165" s="4" t="str">
        <x:v>已测目标芯片；只操作本轮可删除模型副本；受控坏包、缺配置包和配额沙箱</x:v>
      </x:c>
      <x:c r="G165" s="4" t="str">
        <x:v>目标专用合法模型包；坏包；不同目标包；Protected证书待补</x:v>
      </x:c>
      <x:c r="H165" s="4" t="str">
        <x:v>1. 分别导入
2. 检查原模型和暂存
3. 上传有效包</x:v>
      </x:c>
      <x:c r="I165" s="4" t="str">
        <x:v>失败不覆盖旧模型或留下可用假条目；空间提示具体且可恢复。</x:v>
      </x:c>
      <x:c r="J165" s="4" t="str">
        <x:v>解绑场景后删除本轮模型；还原参数；保留原模型</x:v>
      </x:c>
      <x:c r="K165" s="4" t="str">
        <x:v>步骤观察、实际结果、证据文件与清理核对</x:v>
      </x:c>
      <x:c r="L165" s="4" t="str">
        <x:v>UI主操作＋API只读核对</x:v>
      </x:c>
      <x:c r="M165" s="4" t="str">
        <x:v>受影响模块回归</x:v>
      </x:c>
      <x:c r="N165" s="4" t="str">
        <x:v>目标设备具备该能力</x:v>
      </x:c>
      <x:c r="O165" s="4" t="str">
        <x:v>src/web/src/views/gam/countManagement/atomicModel/index.vue；docs/guide/test-cases.md；docs/reference/api.md</x:v>
      </x:c>
      <x:c r="P165" s="4" t="str">
        <x:v>未执行</x:v>
      </x:c>
      <x:c r="Q165" s="19" t="str"/>
      <x:c r="R165" s="12" t="str"/>
      <x:c r="S165" s="12" t="str"/>
      <x:c r="T165" s="4" t="n">
        <x:v>1</x:v>
      </x:c>
      <x:c r="U165" s="4" t="str">
        <x:v>DUT；MODEL-INVENTORY；MODEL-PACKAGES</x:v>
      </x:c>
      <x:c r="V165" s="4" t="str">
        <x:v>codex-ui-and-evidence</x:v>
      </x:c>
      <x:c r="W165" s="4" t="str"/>
      <x:c r="X165" s="4" t="str"/>
      <x:c r="Y165" s="4" t="str"/>
      <x:c r="Z165" s="4" t="str"/>
      <x:c r="AA165" s="4" t="str"/>
      <x:c r="AB165" s="4" t="str"/>
      <x:c r="AC165" s="4" t="str"/>
    </x:row>
    <x:row r="166" ht="53" customHeight="1">
      <x:c r="A166" s="17" t="str">
        <x:v>MODEL-010</x:v>
      </x:c>
      <x:c r="B166" s="17" t="str">
        <x:v>J03</x:v>
      </x:c>
      <x:c r="C166" s="17" t="str">
        <x:v>模型仓库与授权</x:v>
      </x:c>
      <x:c r="D166" s="17" t="str">
        <x:v>P1</x:v>
      </x:c>
      <x:c r="E166" s="17" t="str">
        <x:v>Open 分发与 Protected 状态</x:v>
      </x:c>
      <x:c r="F166" s="17" t="str">
        <x:v>已测目标芯片；只操作本轮可删除模型副本；按设备实际包类型</x:v>
      </x:c>
      <x:c r="G166" s="17" t="str">
        <x:v>目标专用合法模型包；坏包；不同目标包；Protected证书待补</x:v>
      </x:c>
      <x:c r="H166" s="17" t="str">
        <x:v>1. Open运行明文模型
2. 查询授权状态
3. Protected分别无证书错证书有效证书</x:v>
      </x:c>
      <x:c r="I166" s="17" t="str">
        <x:v>Open不被绑定证书阻塞；Protected正确表达状态；不把不支持授权工具当Open故障。</x:v>
      </x:c>
      <x:c r="J166" s="17" t="str">
        <x:v>解绑场景后删除本轮模型；还原参数；保留原模型</x:v>
      </x:c>
      <x:c r="K166" s="17" t="str">
        <x:v>步骤观察、实际结果、证据文件与清理核对</x:v>
      </x:c>
      <x:c r="L166" s="17" t="str">
        <x:v>UI主操作＋API只读核对</x:v>
      </x:c>
      <x:c r="M166" s="17" t="str">
        <x:v>受影响模块回归</x:v>
      </x:c>
      <x:c r="N166" s="17" t="str">
        <x:v>目标设备具备该能力</x:v>
      </x:c>
      <x:c r="O166" s="17" t="str">
        <x:v>src/web/src/views/gam/countManagement/atomicModel/index.vue；docs/guide/test-cases.md；docs/reference/api.md</x:v>
      </x:c>
      <x:c r="P166" s="17" t="str">
        <x:v>未执行</x:v>
      </x:c>
      <x:c r="Q166" s="19" t="str"/>
      <x:c r="R166" s="17" t="str"/>
      <x:c r="S166" s="17" t="str"/>
      <x:c r="T166" s="17" t="n">
        <x:v>1</x:v>
      </x:c>
      <x:c r="U166" s="17" t="str">
        <x:v>DUT；MODEL-INVENTORY；MODEL-PACKAGES</x:v>
      </x:c>
      <x:c r="V166" s="17" t="str">
        <x:v>codex-ui-and-evidence</x:v>
      </x:c>
      <x:c r="W166" s="17" t="str"/>
      <x:c r="X166" s="17" t="str"/>
      <x:c r="Y166" s="17" t="str"/>
      <x:c r="Z166" s="17" t="str"/>
      <x:c r="AA166" s="17" t="str"/>
      <x:c r="AB166" s="17" t="str"/>
      <x:c r="AC166" s="17" t="str"/>
    </x:row>
    <x:row r="167" ht="68" customHeight="1">
      <x:c r="A167" s="4" t="str">
        <x:v>MODEL-011</x:v>
      </x:c>
      <x:c r="B167" s="4" t="str">
        <x:v>J03</x:v>
      </x:c>
      <x:c r="C167" s="4" t="str">
        <x:v>模型仓库与授权</x:v>
      </x:c>
      <x:c r="D167" s="4" t="str">
        <x:v>P1</x:v>
      </x:c>
      <x:c r="E167" s="4" t="str">
        <x:v>Protected 授权请求安装</x:v>
      </x:c>
      <x:c r="F167" s="4" t="str">
        <x:v>已测目标芯片；只操作本轮可删除模型副本；支持provisioner且证书资源齐全</x:v>
      </x:c>
      <x:c r="G167" s="4" t="str">
        <x:v>目标专用合法模型包；坏包；不同目标包；Protected证书待补</x:v>
      </x:c>
      <x:c r="H167" s="4" t="str">
        <x:v>1. 下载授权请求
2. 安装本机有效证书
3. 安装异机/损坏证书
4. 重启复查</x:v>
      </x:c>
      <x:c r="I167" s="4" t="str">
        <x:v>有效证书绑定本机；错误不变有效；敏感请求和证书仅留私有证据；缺资源记阻塞。</x:v>
      </x:c>
      <x:c r="J167" s="4" t="str">
        <x:v>解绑场景后删除本轮模型；还原参数；保留原模型</x:v>
      </x:c>
      <x:c r="K167" s="4" t="str">
        <x:v>步骤观察、实际结果、证据文件与清理核对</x:v>
      </x:c>
      <x:c r="L167" s="4" t="str">
        <x:v>UI主操作＋API只读核对</x:v>
      </x:c>
      <x:c r="M167" s="4" t="str">
        <x:v>发布全量/高影响</x:v>
      </x:c>
      <x:c r="N167" s="4" t="str">
        <x:v>目标设备具备该能力</x:v>
      </x:c>
      <x:c r="O167" s="4" t="str">
        <x:v>src/web/src/views/gam/countManagement/atomicModel/index.vue；docs/guide/test-cases.md；docs/reference/api.md</x:v>
      </x:c>
      <x:c r="P167" s="4" t="str">
        <x:v>未执行</x:v>
      </x:c>
      <x:c r="Q167" s="19" t="str"/>
      <x:c r="R167" s="12" t="str"/>
      <x:c r="S167" s="12" t="str"/>
      <x:c r="T167" s="4" t="n">
        <x:v>1</x:v>
      </x:c>
      <x:c r="U167" s="4" t="str">
        <x:v>DUT；MODEL-INVENTORY；PROTECTED-ASSETS</x:v>
      </x:c>
      <x:c r="V167" s="4" t="str">
        <x:v>codex-ui-and-evidence</x:v>
      </x:c>
      <x:c r="W167" s="4" t="str"/>
      <x:c r="X167" s="4" t="str"/>
      <x:c r="Y167" s="4" t="str"/>
      <x:c r="Z167" s="4" t="str"/>
      <x:c r="AA167" s="4" t="str"/>
      <x:c r="AB167" s="4" t="str"/>
      <x:c r="AC167" s="4" t="str"/>
    </x:row>
    <x:row r="168" ht="83" customHeight="1">
      <x:c r="A168" s="17" t="str">
        <x:v>LIVE-001</x:v>
      </x:c>
      <x:c r="B168" s="17" t="str">
        <x:v>J08</x:v>
      </x:c>
      <x:c r="C168" s="17" t="str">
        <x:v>实时展示</x:v>
      </x:c>
      <x:c r="D168" s="17" t="str">
        <x:v>P0</x:v>
      </x:c>
      <x:c r="E168" s="17" t="str">
        <x:v>选择通道和原始算法流</x:v>
      </x:c>
      <x:c r="F168" s="17" t="str">
        <x:v>至少两路运行任务；设备和浏览器媒体能力已知</x:v>
      </x:c>
      <x:c r="G168" s="17" t="str">
        <x:v>多路在线离线视频；产生事件的场景</x:v>
      </x:c>
      <x:c r="H168" s="17" t="str">
        <x:v>1. 进入实时展示
2. 选择通道
3. 切原始/算法流
4. 切通道
5. 返回</x:v>
      </x:c>
      <x:c r="I168" s="17" t="str">
        <x:v>首帧和当前通道对应；旧播放器关闭；无信号可见；不会播放上一通道缓存冒充新流。</x:v>
      </x:c>
      <x:c r="J168" s="17" t="str">
        <x:v>关闭所有播放器和弹窗；核对流会话释放</x:v>
      </x:c>
      <x:c r="K168" s="17" t="str">
        <x:v>步骤观察、实际结果、证据文件与清理核对</x:v>
      </x:c>
      <x:c r="L168" s="17" t="str">
        <x:v>UI主操作＋API只读核对</x:v>
      </x:c>
      <x:c r="M168" s="17" t="str">
        <x:v>每次变更冒烟</x:v>
      </x:c>
      <x:c r="N168" s="17" t="str">
        <x:v>目标设备具备该能力</x:v>
      </x:c>
      <x:c r="O168" s="17" t="str">
        <x:v>src/web/src/views/box/bigScreen；docs/guide/test-cases.md</x:v>
      </x:c>
      <x:c r="P168" s="17" t="str">
        <x:v>未执行</x:v>
      </x:c>
      <x:c r="Q168" s="19" t="str"/>
      <x:c r="R168" s="17" t="str"/>
      <x:c r="S168" s="17" t="str"/>
      <x:c r="T168" s="17" t="n">
        <x:v>1</x:v>
      </x:c>
      <x:c r="U168" s="17" t="str">
        <x:v>DUT；FACE-VIDEO</x:v>
      </x:c>
      <x:c r="V168" s="17" t="str">
        <x:v>codex-ui-and-evidence</x:v>
      </x:c>
      <x:c r="W168" s="17" t="str"/>
      <x:c r="X168" s="17" t="str"/>
      <x:c r="Y168" s="17" t="str"/>
      <x:c r="Z168" s="17" t="str"/>
      <x:c r="AA168" s="17" t="str"/>
      <x:c r="AB168" s="17" t="str"/>
      <x:c r="AC168" s="17" t="str"/>
    </x:row>
    <x:row r="169" ht="68" customHeight="1">
      <x:c r="A169" s="4" t="str">
        <x:v>LIVE-002</x:v>
      </x:c>
      <x:c r="B169" s="4" t="str">
        <x:v>J08</x:v>
      </x:c>
      <x:c r="C169" s="4" t="str">
        <x:v>实时展示</x:v>
      </x:c>
      <x:c r="D169" s="4" t="str">
        <x:v>P0</x:v>
      </x:c>
      <x:c r="E169" s="4" t="str">
        <x:v>框标签区域轨迹叠加</x:v>
      </x:c>
      <x:c r="F169" s="4" t="str">
        <x:v>至少两路运行任务；设备和浏览器媒体能力已知；支持对应元数据的场景</x:v>
      </x:c>
      <x:c r="G169" s="4" t="str">
        <x:v>多路在线离线视频；产生事件的场景</x:v>
      </x:c>
      <x:c r="H169" s="4" t="str">
        <x:v>1. 打开叠加
2. 核对框标签ROI轨迹
3. 切换叠加层
4. 对照截图和事件</x:v>
      </x:c>
      <x:c r="I169" s="4" t="str">
        <x:v>坐标与目标一致；缩放不漂移；时间过期的叠加不长期留存。</x:v>
      </x:c>
      <x:c r="J169" s="4" t="str">
        <x:v>关闭所有播放器和弹窗；核对流会话释放</x:v>
      </x:c>
      <x:c r="K169" s="4" t="str">
        <x:v>步骤观察、实际结果、证据文件与清理核对</x:v>
      </x:c>
      <x:c r="L169" s="4" t="str">
        <x:v>UI主操作＋API只读核对</x:v>
      </x:c>
      <x:c r="M169" s="4" t="str">
        <x:v>受影响模块回归</x:v>
      </x:c>
      <x:c r="N169" s="4" t="str">
        <x:v>目标设备具备该能力</x:v>
      </x:c>
      <x:c r="O169" s="4" t="str">
        <x:v>src/web/src/views/box/bigScreen；docs/guide/test-cases.md</x:v>
      </x:c>
      <x:c r="P169" s="4" t="str">
        <x:v>未执行</x:v>
      </x:c>
      <x:c r="Q169" s="19" t="str"/>
      <x:c r="R169" s="12" t="str"/>
      <x:c r="S169" s="12" t="str"/>
      <x:c r="T169" s="4" t="n">
        <x:v>1</x:v>
      </x:c>
      <x:c r="U169" s="4" t="str">
        <x:v>DUT；FACE-VIDEO；SCENARIO-TRUTH</x:v>
      </x:c>
      <x:c r="V169" s="4" t="str">
        <x:v>codex-ui-and-evidence</x:v>
      </x:c>
      <x:c r="W169" s="4" t="str"/>
      <x:c r="X169" s="4" t="str"/>
      <x:c r="Y169" s="4" t="str"/>
      <x:c r="Z169" s="4" t="str"/>
      <x:c r="AA169" s="4" t="str"/>
      <x:c r="AB169" s="4" t="str"/>
      <x:c r="AC169" s="4" t="str"/>
    </x:row>
    <x:row r="170" ht="68" customHeight="1">
      <x:c r="A170" s="17" t="str">
        <x:v>LIVE-003</x:v>
      </x:c>
      <x:c r="B170" s="17" t="str">
        <x:v>J08</x:v>
      </x:c>
      <x:c r="C170" s="17" t="str">
        <x:v>实时展示</x:v>
      </x:c>
      <x:c r="D170" s="17" t="str">
        <x:v>P1</x:v>
      </x:c>
      <x:c r="E170" s="17" t="str">
        <x:v>多窗布局和全屏</x:v>
      </x:c>
      <x:c r="F170" s="17" t="str">
        <x:v>至少两路运行任务；设备和浏览器媒体能力已知；按页面实际提供布局</x:v>
      </x:c>
      <x:c r="G170" s="17" t="str">
        <x:v>多路在线离线视频；产生事件的场景</x:v>
      </x:c>
      <x:c r="H170" s="17" t="str">
        <x:v>1. 切换布局填充多路
2. 放大全屏
3. 退出
4. 关闭一路</x:v>
      </x:c>
      <x:c r="I170" s="17" t="str">
        <x:v>布局和选路保留；其他流正常；不新增失控的播放器实例。</x:v>
      </x:c>
      <x:c r="J170" s="17" t="str">
        <x:v>关闭所有播放器和弹窗；核对流会话释放</x:v>
      </x:c>
      <x:c r="K170" s="17" t="str">
        <x:v>步骤观察、实际结果、证据文件与清理核对</x:v>
      </x:c>
      <x:c r="L170" s="17" t="str">
        <x:v>UI主操作＋API只读核对</x:v>
      </x:c>
      <x:c r="M170" s="17" t="str">
        <x:v>受影响模块回归</x:v>
      </x:c>
      <x:c r="N170" s="17" t="str">
        <x:v>目标设备具备该能力</x:v>
      </x:c>
      <x:c r="O170" s="17" t="str">
        <x:v>src/web/src/views/box/bigScreen；docs/guide/test-cases.md</x:v>
      </x:c>
      <x:c r="P170" s="17" t="str">
        <x:v>未执行</x:v>
      </x:c>
      <x:c r="Q170" s="19" t="str"/>
      <x:c r="R170" s="17" t="str"/>
      <x:c r="S170" s="17" t="str"/>
      <x:c r="T170" s="17" t="n">
        <x:v>1</x:v>
      </x:c>
      <x:c r="U170" s="17" t="str">
        <x:v>DUT；FACE-VIDEO</x:v>
      </x:c>
      <x:c r="V170" s="17" t="str">
        <x:v>codex-ui-and-evidence</x:v>
      </x:c>
      <x:c r="W170" s="17" t="str"/>
      <x:c r="X170" s="17" t="str"/>
      <x:c r="Y170" s="17" t="str"/>
      <x:c r="Z170" s="17" t="str"/>
      <x:c r="AA170" s="17" t="str"/>
      <x:c r="AB170" s="17" t="str"/>
      <x:c r="AC170" s="17" t="str"/>
    </x:row>
    <x:row r="171" ht="68" customHeight="1">
      <x:c r="A171" s="4" t="str">
        <x:v>LIVE-004</x:v>
      </x:c>
      <x:c r="B171" s="4" t="str">
        <x:v>J08</x:v>
      </x:c>
      <x:c r="C171" s="4" t="str">
        <x:v>实时展示</x:v>
      </x:c>
      <x:c r="D171" s="4" t="str">
        <x:v>P1</x:v>
      </x:c>
      <x:c r="E171" s="4" t="str">
        <x:v>实时告警详情与入库</x:v>
      </x:c>
      <x:c r="F171" s="4" t="str">
        <x:v>至少两路运行任务；设备和浏览器媒体能力已知；固定事件</x:v>
      </x:c>
      <x:c r="G171" s="4" t="str">
        <x:v>多路在线离线视频；产生事件的场景</x:v>
      </x:c>
      <x:c r="H171" s="4" t="str">
        <x:v>1. 触发事件
2. 点击实时记录
3. 查看详情图片视频
4. 对适用目标入库</x:v>
      </x:c>
      <x:c r="I171" s="4" t="str">
        <x:v>实时记录与落库ID一致；操作对象正确；入库流程复用底库校验。</x:v>
      </x:c>
      <x:c r="J171" s="4" t="str">
        <x:v>关闭所有播放器和弹窗；核对流会话释放</x:v>
      </x:c>
      <x:c r="K171" s="4" t="str">
        <x:v>步骤观察、实际结果、证据文件与清理核对</x:v>
      </x:c>
      <x:c r="L171" s="4" t="str">
        <x:v>UI主操作＋API只读核对</x:v>
      </x:c>
      <x:c r="M171" s="4" t="str">
        <x:v>受影响模块回归</x:v>
      </x:c>
      <x:c r="N171" s="4" t="str">
        <x:v>目标设备具备该能力</x:v>
      </x:c>
      <x:c r="O171" s="4" t="str">
        <x:v>src/web/src/views/box/bigScreen；docs/guide/test-cases.md</x:v>
      </x:c>
      <x:c r="P171" s="4" t="str">
        <x:v>未执行</x:v>
      </x:c>
      <x:c r="Q171" s="19" t="str"/>
      <x:c r="R171" s="12" t="str"/>
      <x:c r="S171" s="12" t="str"/>
      <x:c r="T171" s="4" t="n">
        <x:v>1</x:v>
      </x:c>
      <x:c r="U171" s="4" t="str">
        <x:v>DUT；FACE-VIDEO</x:v>
      </x:c>
      <x:c r="V171" s="4" t="str">
        <x:v>codex-ui-and-evidence</x:v>
      </x:c>
      <x:c r="W171" s="4" t="str"/>
      <x:c r="X171" s="4" t="str"/>
      <x:c r="Y171" s="4" t="str"/>
      <x:c r="Z171" s="4" t="str"/>
      <x:c r="AA171" s="4" t="str"/>
      <x:c r="AB171" s="4" t="str"/>
      <x:c r="AC171" s="4" t="str"/>
    </x:row>
    <x:row r="172" ht="68" customHeight="1">
      <x:c r="A172" s="17" t="str">
        <x:v>LIVE-005</x:v>
      </x:c>
      <x:c r="B172" s="17" t="str">
        <x:v>J08</x:v>
      </x:c>
      <x:c r="C172" s="17" t="str">
        <x:v>实时展示</x:v>
      </x:c>
      <x:c r="D172" s="17" t="str">
        <x:v>P0</x:v>
      </x:c>
      <x:c r="E172" s="17" t="str">
        <x:v>断网重连与无信号</x:v>
      </x:c>
      <x:c r="F172" s="17" t="str">
        <x:v>至少两路运行任务；设备和浏览器媒体能力已知；受控浏览器断网或源断流</x:v>
      </x:c>
      <x:c r="G172" s="17" t="str">
        <x:v>多路在线离线视频；产生事件的场景</x:v>
      </x:c>
      <x:c r="H172" s="17" t="str">
        <x:v>1. 持续预览
2. 断网恢复
3. 再切通道
4. 查看WebSocket重连</x:v>
      </x:c>
      <x:c r="I172" s="17" t="str">
        <x:v>加载错误状态准确；可恢复；不重复堆积同一告警或永久黑屏。</x:v>
      </x:c>
      <x:c r="J172" s="17" t="str">
        <x:v>关闭所有播放器和弹窗；核对流会话释放</x:v>
      </x:c>
      <x:c r="K172" s="17" t="str">
        <x:v>步骤观察、实际结果、证据文件与清理核对</x:v>
      </x:c>
      <x:c r="L172" s="17" t="str">
        <x:v>UI主操作＋API只读核对</x:v>
      </x:c>
      <x:c r="M172" s="17" t="str">
        <x:v>受影响模块回归</x:v>
      </x:c>
      <x:c r="N172" s="17" t="str">
        <x:v>目标设备具备该能力</x:v>
      </x:c>
      <x:c r="O172" s="17" t="str">
        <x:v>src/web/src/views/box/bigScreen；docs/guide/test-cases.md</x:v>
      </x:c>
      <x:c r="P172" s="17" t="str">
        <x:v>未执行</x:v>
      </x:c>
      <x:c r="Q172" s="19" t="str"/>
      <x:c r="R172" s="17" t="str"/>
      <x:c r="S172" s="17" t="str"/>
      <x:c r="T172" s="17" t="n">
        <x:v>1</x:v>
      </x:c>
      <x:c r="U172" s="17" t="str">
        <x:v>DUT；FACE-VIDEO</x:v>
      </x:c>
      <x:c r="V172" s="17" t="str">
        <x:v>codex-ui-and-evidence</x:v>
      </x:c>
      <x:c r="W172" s="17" t="str"/>
      <x:c r="X172" s="17" t="str"/>
      <x:c r="Y172" s="17" t="str"/>
      <x:c r="Z172" s="17" t="str"/>
      <x:c r="AA172" s="17" t="str"/>
      <x:c r="AB172" s="17" t="str"/>
      <x:c r="AC172" s="17" t="str"/>
    </x:row>
    <x:row r="173" ht="83" customHeight="1">
      <x:c r="A173" s="4" t="str">
        <x:v>LIVE-006</x:v>
      </x:c>
      <x:c r="B173" s="4" t="str">
        <x:v>J08</x:v>
      </x:c>
      <x:c r="C173" s="4" t="str">
        <x:v>实时展示</x:v>
      </x:c>
      <x:c r="D173" s="4" t="str">
        <x:v>P1</x:v>
      </x:c>
      <x:c r="E173" s="4" t="str">
        <x:v>同流多客户端与关闭回收</x:v>
      </x:c>
      <x:c r="F173" s="4" t="str">
        <x:v>至少两路运行任务；设备和浏览器媒体能力已知；两个浏览器</x:v>
      </x:c>
      <x:c r="G173" s="4" t="str">
        <x:v>多路在线离线视频；产生事件的场景</x:v>
      </x:c>
      <x:c r="H173" s="4" t="str">
        <x:v>1. 同时打开同一流
2. 关闭一窗
3. 保持另一窗
4. 全关
5. 查会话</x:v>
      </x:c>
      <x:c r="I173" s="4" t="str">
        <x:v>单窗关闭不打断其他消费者；全关后按租约回收；心跳不串用户。</x:v>
      </x:c>
      <x:c r="J173" s="4" t="str">
        <x:v>关闭所有播放器和弹窗；核对流会话释放</x:v>
      </x:c>
      <x:c r="K173" s="4" t="str">
        <x:v>步骤观察、实际结果、证据文件与清理核对</x:v>
      </x:c>
      <x:c r="L173" s="4" t="str">
        <x:v>UI主操作＋API只读核对</x:v>
      </x:c>
      <x:c r="M173" s="4" t="str">
        <x:v>受影响模块回归</x:v>
      </x:c>
      <x:c r="N173" s="4" t="str">
        <x:v>目标设备具备该能力</x:v>
      </x:c>
      <x:c r="O173" s="4" t="str">
        <x:v>src/web/src/views/box/bigScreen；docs/guide/test-cases.md</x:v>
      </x:c>
      <x:c r="P173" s="4" t="str">
        <x:v>未执行</x:v>
      </x:c>
      <x:c r="Q173" s="19" t="str"/>
      <x:c r="R173" s="12" t="str"/>
      <x:c r="S173" s="12" t="str"/>
      <x:c r="T173" s="4" t="n">
        <x:v>1</x:v>
      </x:c>
      <x:c r="U173" s="4" t="str">
        <x:v>DUT；FACE-VIDEO</x:v>
      </x:c>
      <x:c r="V173" s="4" t="str">
        <x:v>codex-ui-and-evidence</x:v>
      </x:c>
      <x:c r="W173" s="4" t="str"/>
      <x:c r="X173" s="4" t="str"/>
      <x:c r="Y173" s="4" t="str"/>
      <x:c r="Z173" s="4" t="str"/>
      <x:c r="AA173" s="4" t="str"/>
      <x:c r="AB173" s="4" t="str"/>
      <x:c r="AC173" s="4" t="str"/>
    </x:row>
    <x:row r="174" ht="53" customHeight="1">
      <x:c r="A174" s="17" t="str">
        <x:v>LIVE-007</x:v>
      </x:c>
      <x:c r="B174" s="17" t="str">
        <x:v>J08</x:v>
      </x:c>
      <x:c r="C174" s="17" t="str">
        <x:v>实时展示</x:v>
      </x:c>
      <x:c r="D174" s="17" t="str">
        <x:v>P1</x:v>
      </x:c>
      <x:c r="E174" s="17" t="str">
        <x:v>长时预览与页面切换</x:v>
      </x:c>
      <x:c r="F174" s="17" t="str">
        <x:v>至少两路运行任务；设备和浏览器媒体能力已知；约定观察时长</x:v>
      </x:c>
      <x:c r="G174" s="17" t="str">
        <x:v>多路在线离线视频；产生事件的场景</x:v>
      </x:c>
      <x:c r="H174" s="17" t="str">
        <x:v>1. 轮换通道和叠加20轮
2. 连续预览至少2小时作为建议起点
3. 记录资源</x:v>
      </x:c>
      <x:c r="I174" s="17" t="str">
        <x:v>无持续增长播放器/连接；卡顿黑屏次数有实测；门限经评审再锁定。</x:v>
      </x:c>
      <x:c r="J174" s="17" t="str">
        <x:v>关闭所有播放器和弹窗；核对流会话释放</x:v>
      </x:c>
      <x:c r="K174" s="17" t="str">
        <x:v>步骤观察、实际结果、证据文件与清理核对</x:v>
      </x:c>
      <x:c r="L174" s="17" t="str">
        <x:v>UI主操作＋API只读核对</x:v>
      </x:c>
      <x:c r="M174" s="17" t="str">
        <x:v>受影响模块回归</x:v>
      </x:c>
      <x:c r="N174" s="17" t="str">
        <x:v>目标设备具备该能力</x:v>
      </x:c>
      <x:c r="O174" s="17" t="str">
        <x:v>src/web/src/views/box/bigScreen；docs/guide/test-cases.md</x:v>
      </x:c>
      <x:c r="P174" s="17" t="str">
        <x:v>未执行</x:v>
      </x:c>
      <x:c r="Q174" s="19" t="str"/>
      <x:c r="R174" s="17" t="str"/>
      <x:c r="S174" s="17" t="str"/>
      <x:c r="T174" s="17" t="n">
        <x:v>1</x:v>
      </x:c>
      <x:c r="U174" s="17" t="str">
        <x:v>DUT；FACE-VIDEO</x:v>
      </x:c>
      <x:c r="V174" s="17" t="str">
        <x:v>codex-ui-and-evidence</x:v>
      </x:c>
      <x:c r="W174" s="17" t="str"/>
      <x:c r="X174" s="17" t="str"/>
      <x:c r="Y174" s="17" t="str"/>
      <x:c r="Z174" s="17" t="str"/>
      <x:c r="AA174" s="17" t="str"/>
      <x:c r="AB174" s="17" t="str"/>
      <x:c r="AC174" s="17" t="str"/>
    </x:row>
    <x:row r="175" ht="68" customHeight="1">
      <x:c r="A175" s="4" t="str">
        <x:v>EVENT-001</x:v>
      </x:c>
      <x:c r="B175" s="4" t="str">
        <x:v>J08</x:v>
      </x:c>
      <x:c r="C175" s="4" t="str">
        <x:v>事件中心与统计</x:v>
      </x:c>
      <x:c r="D175" s="4" t="str">
        <x:v>P0</x:v>
      </x:c>
      <x:c r="E175" s="4" t="str">
        <x:v>告警筛选分页与详情</x:v>
      </x:c>
      <x:c r="F175" s="4" t="str">
        <x:v>每类事件至少一条已确认落库；时钟一致</x:v>
      </x:c>
      <x:c r="G175" s="4" t="str">
        <x:v>固定正负视频；人脸工服车牌与进出真值</x:v>
      </x:c>
      <x:c r="H175" s="4" t="str">
        <x:v>1. 触发指定通道场景事件
2. 按通道算法时间查询
3. 翻页
4. 打开详情</x:v>
      </x:c>
      <x:c r="I175" s="4" t="str">
        <x:v>落库ID时间类型通道正确；无串场景；图片与对应事件目标一致。</x:v>
      </x:c>
      <x:c r="J175" s="4" t="str">
        <x:v>只删除本轮允许清理的事件；恢复查询条件</x:v>
      </x:c>
      <x:c r="K175" s="4" t="str">
        <x:v>步骤观察、实际结果、证据文件与清理核对</x:v>
      </x:c>
      <x:c r="L175" s="4" t="str">
        <x:v>UI主操作＋API只读核对</x:v>
      </x:c>
      <x:c r="M175" s="4" t="str">
        <x:v>每次变更冒烟</x:v>
      </x:c>
      <x:c r="N175" s="4" t="str">
        <x:v>目标设备具备该能力</x:v>
      </x:c>
      <x:c r="O175" s="4" t="str">
        <x:v>src/web/src/views/box/eventQuery；src/web/src/api/box.js；docs/guide/accuracy-evaluation.md</x:v>
      </x:c>
      <x:c r="P175" s="4" t="str">
        <x:v>未执行</x:v>
      </x:c>
      <x:c r="Q175" s="19" t="str"/>
      <x:c r="R175" s="12" t="str"/>
      <x:c r="S175" s="12" t="str"/>
      <x:c r="T175" s="4" t="n">
        <x:v>1</x:v>
      </x:c>
      <x:c r="U175" s="4" t="str">
        <x:v>DUT；FACE-VIDEO</x:v>
      </x:c>
      <x:c r="V175" s="4" t="str">
        <x:v>codex-ui-and-evidence</x:v>
      </x:c>
      <x:c r="W175" s="4" t="str"/>
      <x:c r="X175" s="4" t="str"/>
      <x:c r="Y175" s="4" t="str"/>
      <x:c r="Z175" s="4" t="str"/>
      <x:c r="AA175" s="4" t="str"/>
      <x:c r="AB175" s="4" t="str"/>
      <x:c r="AC175" s="4" t="str"/>
    </x:row>
    <x:row r="176" ht="38" customHeight="1">
      <x:c r="A176" s="17" t="str">
        <x:v>EVENT-002</x:v>
      </x:c>
      <x:c r="B176" s="17" t="str">
        <x:v>J08</x:v>
      </x:c>
      <x:c r="C176" s="17" t="str">
        <x:v>事件中心与统计</x:v>
      </x:c>
      <x:c r="D176" s="17" t="str">
        <x:v>P1</x:v>
      </x:c>
      <x:c r="E176" s="17" t="str">
        <x:v>时间边界与跨日</x:v>
      </x:c>
      <x:c r="F176" s="17" t="str">
        <x:v>每类事件至少一条已确认落库；时钟一致；边界前后已知事件</x:v>
      </x:c>
      <x:c r="G176" s="17" t="str">
        <x:v>固定正负视频；人脸工服车牌与进出真值</x:v>
      </x:c>
      <x:c r="H176" s="17" t="str">
        <x:v>1. 按精确边界、跨日和空范围查询
2. 与完整清单比较</x:v>
      </x:c>
      <x:c r="I176" s="17" t="str">
        <x:v>包含/排除规则按接口契约明确；不漏页、不重复；本地时间与设备时区一致。</x:v>
      </x:c>
      <x:c r="J176" s="17" t="str">
        <x:v>只删除本轮允许清理的事件；恢复查询条件</x:v>
      </x:c>
      <x:c r="K176" s="17" t="str">
        <x:v>步骤观察、实际结果、证据文件与清理核对</x:v>
      </x:c>
      <x:c r="L176" s="17" t="str">
        <x:v>UI主操作＋API只读核对</x:v>
      </x:c>
      <x:c r="M176" s="17" t="str">
        <x:v>受影响模块回归</x:v>
      </x:c>
      <x:c r="N176" s="17" t="str">
        <x:v>目标设备具备该能力</x:v>
      </x:c>
      <x:c r="O176" s="17" t="str">
        <x:v>src/web/src/views/box/eventQuery；src/web/src/api/box.js；docs/guide/accuracy-evaluation.md</x:v>
      </x:c>
      <x:c r="P176" s="17" t="str">
        <x:v>未执行</x:v>
      </x:c>
      <x:c r="Q176" s="19" t="str"/>
      <x:c r="R176" s="17" t="str"/>
      <x:c r="S176" s="17" t="str"/>
      <x:c r="T176" s="17" t="n">
        <x:v>1</x:v>
      </x:c>
      <x:c r="U176" s="17" t="str">
        <x:v>DUT；FACE-VIDEO</x:v>
      </x:c>
      <x:c r="V176" s="17" t="str">
        <x:v>codex-ui-and-evidence</x:v>
      </x:c>
      <x:c r="W176" s="17" t="str"/>
      <x:c r="X176" s="17" t="str"/>
      <x:c r="Y176" s="17" t="str"/>
      <x:c r="Z176" s="17" t="str"/>
      <x:c r="AA176" s="17" t="str"/>
      <x:c r="AB176" s="17" t="str"/>
      <x:c r="AC176" s="17" t="str"/>
    </x:row>
    <x:row r="177" ht="68" customHeight="1">
      <x:c r="A177" s="4" t="str">
        <x:v>EVENT-003</x:v>
      </x:c>
      <x:c r="B177" s="4" t="str">
        <x:v>J08</x:v>
      </x:c>
      <x:c r="C177" s="4" t="str">
        <x:v>事件中心与统计</x:v>
      </x:c>
      <x:c r="D177" s="4" t="str">
        <x:v>P0</x:v>
      </x:c>
      <x:c r="E177" s="4" t="str">
        <x:v>图片视频下载与播放</x:v>
      </x:c>
      <x:c r="F177" s="4" t="str">
        <x:v>每类事件至少一条已确认落库；时钟一致；含告警图片视频事件</x:v>
      </x:c>
      <x:c r="G177" s="4" t="str">
        <x:v>固定正负视频；人脸工服车牌与进出真值</x:v>
      </x:c>
      <x:c r="H177" s="4" t="str">
        <x:v>1. 详情放大图片
2. 下载原图
3. 播放/下载录像
4. 核对时段与编码</x:v>
      </x:c>
      <x:c r="I177" s="4" t="str">
        <x:v>内容可解码且属于该事件；MIME正确；截断或缺失有提示，不用空播放器假成功。</x:v>
      </x:c>
      <x:c r="J177" s="4" t="str">
        <x:v>只删除本轮允许清理的事件；恢复查询条件</x:v>
      </x:c>
      <x:c r="K177" s="4" t="str">
        <x:v>步骤观察、实际结果、证据文件与清理核对</x:v>
      </x:c>
      <x:c r="L177" s="4" t="str">
        <x:v>UI主操作＋API只读核对</x:v>
      </x:c>
      <x:c r="M177" s="4" t="str">
        <x:v>受影响模块回归</x:v>
      </x:c>
      <x:c r="N177" s="4" t="str">
        <x:v>目标设备具备该能力</x:v>
      </x:c>
      <x:c r="O177" s="4" t="str">
        <x:v>src/web/src/views/box/eventQuery；src/web/src/api/box.js；docs/guide/accuracy-evaluation.md</x:v>
      </x:c>
      <x:c r="P177" s="4" t="str">
        <x:v>未执行</x:v>
      </x:c>
      <x:c r="Q177" s="19" t="str"/>
      <x:c r="R177" s="12" t="str"/>
      <x:c r="S177" s="12" t="str"/>
      <x:c r="T177" s="4" t="n">
        <x:v>1</x:v>
      </x:c>
      <x:c r="U177" s="4" t="str">
        <x:v>DUT；FACE-VIDEO</x:v>
      </x:c>
      <x:c r="V177" s="4" t="str">
        <x:v>codex-ui-and-evidence</x:v>
      </x:c>
      <x:c r="W177" s="4" t="str"/>
      <x:c r="X177" s="4" t="str"/>
      <x:c r="Y177" s="4" t="str"/>
      <x:c r="Z177" s="4" t="str"/>
      <x:c r="AA177" s="4" t="str"/>
      <x:c r="AB177" s="4" t="str"/>
      <x:c r="AC177" s="4" t="str"/>
    </x:row>
    <x:row r="178" ht="68" customHeight="1">
      <x:c r="A178" s="17" t="str">
        <x:v>EVENT-004</x:v>
      </x:c>
      <x:c r="B178" s="17" t="str">
        <x:v>J08</x:v>
      </x:c>
      <x:c r="C178" s="17" t="str">
        <x:v>事件中心与统计</x:v>
      </x:c>
      <x:c r="D178" s="17" t="str">
        <x:v>P0</x:v>
      </x:c>
      <x:c r="E178" s="17" t="str">
        <x:v>导出数量字段与中文</x:v>
      </x:c>
      <x:c r="F178" s="17" t="str">
        <x:v>每类事件至少一条已确认落库；时钟一致；过滤后已知事件集合</x:v>
      </x:c>
      <x:c r="G178" s="17" t="str">
        <x:v>固定正负视频；人脸工服车牌与进出真值</x:v>
      </x:c>
      <x:c r="H178" s="17" t="str">
        <x:v>1. 设置筛选
2. 导出
3. 解压/打开
4. 按事件ID逐项比对</x:v>
      </x:c>
      <x:c r="I178" s="17" t="str">
        <x:v>数量与过滤集合一致；中文字段不乱码；无遗漏重复和敏感服务器路径。</x:v>
      </x:c>
      <x:c r="J178" s="17" t="str">
        <x:v>只删除本轮允许清理的事件；恢复查询条件</x:v>
      </x:c>
      <x:c r="K178" s="17" t="str">
        <x:v>步骤观察、实际结果、证据文件与清理核对</x:v>
      </x:c>
      <x:c r="L178" s="17" t="str">
        <x:v>UI主操作＋API只读核对</x:v>
      </x:c>
      <x:c r="M178" s="17" t="str">
        <x:v>受影响模块回归</x:v>
      </x:c>
      <x:c r="N178" s="17" t="str">
        <x:v>目标设备具备该能力</x:v>
      </x:c>
      <x:c r="O178" s="17" t="str">
        <x:v>src/web/src/views/box/eventQuery；src/web/src/api/box.js；docs/guide/accuracy-evaluation.md</x:v>
      </x:c>
      <x:c r="P178" s="17" t="str">
        <x:v>未执行</x:v>
      </x:c>
      <x:c r="Q178" s="19" t="str"/>
      <x:c r="R178" s="17" t="str"/>
      <x:c r="S178" s="17" t="str"/>
      <x:c r="T178" s="17" t="n">
        <x:v>1</x:v>
      </x:c>
      <x:c r="U178" s="17" t="str">
        <x:v>DUT；FACE-VIDEO</x:v>
      </x:c>
      <x:c r="V178" s="17" t="str">
        <x:v>codex-ui-and-evidence</x:v>
      </x:c>
      <x:c r="W178" s="17" t="str"/>
      <x:c r="X178" s="17" t="str"/>
      <x:c r="Y178" s="17" t="str"/>
      <x:c r="Z178" s="17" t="str"/>
      <x:c r="AA178" s="17" t="str"/>
      <x:c r="AB178" s="17" t="str"/>
      <x:c r="AC178" s="17" t="str"/>
    </x:row>
    <x:row r="179" ht="68" customHeight="1">
      <x:c r="A179" s="4" t="str">
        <x:v>EVENT-005</x:v>
      </x:c>
      <x:c r="B179" s="4" t="str">
        <x:v>J08</x:v>
      </x:c>
      <x:c r="C179" s="4" t="str">
        <x:v>事件中心与统计</x:v>
      </x:c>
      <x:c r="D179" s="4" t="str">
        <x:v>P0</x:v>
      </x:c>
      <x:c r="E179" s="4" t="str">
        <x:v>人脸人体筛选与详情入库</x:v>
      </x:c>
      <x:c r="F179" s="4" t="str">
        <x:v>每类事件至少一条已确认落库；时钟一致；已知身份及陌生人事件</x:v>
      </x:c>
      <x:c r="G179" s="4" t="str">
        <x:v>固定正负视频；人脸工服车牌与进出真值</x:v>
      </x:c>
      <x:c r="H179" s="4" t="str">
        <x:v>1. 切人脸人体分析
2. 按支持字段筛选
3. 查看底库比对详情
4. 入本轮分组</x:v>
      </x:c>
      <x:c r="I179" s="4" t="str">
        <x:v>人脸人体及身份结果不混淆；入库后可再识别；无真值不宣称身份准确。</x:v>
      </x:c>
      <x:c r="J179" s="4" t="str">
        <x:v>只删除本轮允许清理的事件；恢复查询条件</x:v>
      </x:c>
      <x:c r="K179" s="4" t="str">
        <x:v>步骤观察、实际结果、证据文件与清理核对</x:v>
      </x:c>
      <x:c r="L179" s="4" t="str">
        <x:v>UI主操作＋API只读核对</x:v>
      </x:c>
      <x:c r="M179" s="4" t="str">
        <x:v>受影响模块回归</x:v>
      </x:c>
      <x:c r="N179" s="4" t="str">
        <x:v>目标设备具备该能力</x:v>
      </x:c>
      <x:c r="O179" s="4" t="str">
        <x:v>src/web/src/views/box/eventQuery；src/web/src/api/box.js；docs/guide/accuracy-evaluation.md</x:v>
      </x:c>
      <x:c r="P179" s="4" t="str">
        <x:v>未执行</x:v>
      </x:c>
      <x:c r="Q179" s="19" t="str"/>
      <x:c r="R179" s="12" t="str"/>
      <x:c r="S179" s="12" t="str"/>
      <x:c r="T179" s="4" t="n">
        <x:v>1</x:v>
      </x:c>
      <x:c r="U179" s="4" t="str">
        <x:v>DUT；FACE-VIDEO</x:v>
      </x:c>
      <x:c r="V179" s="4" t="str">
        <x:v>codex-ui-and-evidence</x:v>
      </x:c>
      <x:c r="W179" s="4" t="str"/>
      <x:c r="X179" s="4" t="str"/>
      <x:c r="Y179" s="4" t="str"/>
      <x:c r="Z179" s="4" t="str"/>
      <x:c r="AA179" s="4" t="str"/>
      <x:c r="AB179" s="4" t="str"/>
      <x:c r="AC179" s="4" t="str"/>
    </x:row>
    <x:row r="180" ht="53" customHeight="1">
      <x:c r="A180" s="17" t="str">
        <x:v>EVENT-006</x:v>
      </x:c>
      <x:c r="B180" s="17" t="str">
        <x:v>J08</x:v>
      </x:c>
      <x:c r="C180" s="17" t="str">
        <x:v>事件中心与统计</x:v>
      </x:c>
      <x:c r="D180" s="17" t="str">
        <x:v>P1</x:v>
      </x:c>
      <x:c r="E180" s="17" t="str">
        <x:v>车辆属性车牌与字典</x:v>
      </x:c>
      <x:c r="F180" s="17" t="str">
        <x:v>每类事件至少一条已确认落库；时钟一致；车牌清晰和模糊样本待补</x:v>
      </x:c>
      <x:c r="G180" s="17" t="str">
        <x:v>固定正负视频；人脸工服车牌与进出真值</x:v>
      </x:c>
      <x:c r="H180" s="17" t="str">
        <x:v>1. 产生车辆事件
2. 使用可用属性和车牌条件查询
3. 打开车辆详情</x:v>
      </x:c>
      <x:c r="I180" s="17" t="str">
        <x:v>字典ID和显示名称一致；车牌与真值核对；无车牌不伪造空串为识别成功。</x:v>
      </x:c>
      <x:c r="J180" s="17" t="str">
        <x:v>只删除本轮允许清理的事件；恢复查询条件</x:v>
      </x:c>
      <x:c r="K180" s="17" t="str">
        <x:v>步骤观察、实际结果、证据文件与清理核对</x:v>
      </x:c>
      <x:c r="L180" s="17" t="str">
        <x:v>UI主操作＋API只读核对</x:v>
      </x:c>
      <x:c r="M180" s="17" t="str">
        <x:v>受影响模块回归</x:v>
      </x:c>
      <x:c r="N180" s="17" t="str">
        <x:v>目标设备具备该能力</x:v>
      </x:c>
      <x:c r="O180" s="17" t="str">
        <x:v>src/web/src/views/box/eventQuery；src/web/src/api/box.js；docs/guide/accuracy-evaluation.md</x:v>
      </x:c>
      <x:c r="P180" s="17" t="str">
        <x:v>未执行</x:v>
      </x:c>
      <x:c r="Q180" s="19" t="str"/>
      <x:c r="R180" s="17" t="str"/>
      <x:c r="S180" s="17" t="str"/>
      <x:c r="T180" s="17" t="n">
        <x:v>1</x:v>
      </x:c>
      <x:c r="U180" s="17" t="str">
        <x:v>DUT；FACE-VIDEO；SCENARIO-TRUTH</x:v>
      </x:c>
      <x:c r="V180" s="17" t="str">
        <x:v>codex-ui-and-evidence</x:v>
      </x:c>
      <x:c r="W180" s="17" t="str"/>
      <x:c r="X180" s="17" t="str"/>
      <x:c r="Y180" s="17" t="str"/>
      <x:c r="Z180" s="17" t="str"/>
      <x:c r="AA180" s="17" t="str"/>
      <x:c r="AB180" s="17" t="str"/>
      <x:c r="AC180" s="17" t="str"/>
    </x:row>
    <x:row r="181" ht="53" customHeight="1">
      <x:c r="A181" s="4" t="str">
        <x:v>EVENT-007</x:v>
      </x:c>
      <x:c r="B181" s="4" t="str">
        <x:v>J08</x:v>
      </x:c>
      <x:c r="C181" s="4" t="str">
        <x:v>事件中心与统计</x:v>
      </x:c>
      <x:c r="D181" s="4" t="str">
        <x:v>P0</x:v>
      </x:c>
      <x:c r="E181" s="4" t="str">
        <x:v>进出流量和区域人数统计</x:v>
      </x:c>
      <x:c r="F181" s="4" t="str">
        <x:v>每类事件至少一条已确认落库；时钟一致；已人工标注进出轨迹</x:v>
      </x:c>
      <x:c r="G181" s="4" t="str">
        <x:v>固定正负视频；人脸工服车牌与进出真值</x:v>
      </x:c>
      <x:c r="H181" s="4" t="str">
        <x:v>1. 选择算法通道日期和统计粒度
2. 查看趋势及合计
3. 跨边界刷新</x:v>
      </x:c>
      <x:c r="I181" s="4" t="str">
        <x:v>进出累计与区域瞬时人数分开；合计可与去重原始事件对账；无数据不冒充缺失为正常零值。</x:v>
      </x:c>
      <x:c r="J181" s="4" t="str">
        <x:v>只删除本轮允许清理的事件；恢复查询条件</x:v>
      </x:c>
      <x:c r="K181" s="4" t="str">
        <x:v>步骤观察、实际结果、证据文件与清理核对</x:v>
      </x:c>
      <x:c r="L181" s="4" t="str">
        <x:v>UI主操作＋API只读核对</x:v>
      </x:c>
      <x:c r="M181" s="4" t="str">
        <x:v>受影响模块回归</x:v>
      </x:c>
      <x:c r="N181" s="4" t="str">
        <x:v>目标设备具备该能力</x:v>
      </x:c>
      <x:c r="O181" s="4" t="str">
        <x:v>src/web/src/views/box/eventQuery；src/web/src/api/box.js；docs/guide/accuracy-evaluation.md</x:v>
      </x:c>
      <x:c r="P181" s="4" t="str">
        <x:v>未执行</x:v>
      </x:c>
      <x:c r="Q181" s="19" t="str"/>
      <x:c r="R181" s="12" t="str"/>
      <x:c r="S181" s="12" t="str"/>
      <x:c r="T181" s="4" t="n">
        <x:v>1</x:v>
      </x:c>
      <x:c r="U181" s="4" t="str">
        <x:v>DUT；FACE-VIDEO；SCENARIO-TRUTH</x:v>
      </x:c>
      <x:c r="V181" s="4" t="str">
        <x:v>codex-ui-and-evidence</x:v>
      </x:c>
      <x:c r="W181" s="4" t="str"/>
      <x:c r="X181" s="4" t="str"/>
      <x:c r="Y181" s="4" t="str"/>
      <x:c r="Z181" s="4" t="str"/>
      <x:c r="AA181" s="4" t="str"/>
      <x:c r="AB181" s="4" t="str"/>
      <x:c r="AC181" s="4" t="str"/>
    </x:row>
    <x:row r="182" ht="53" customHeight="1">
      <x:c r="A182" s="17" t="str">
        <x:v>EVENT-008</x:v>
      </x:c>
      <x:c r="B182" s="17" t="str">
        <x:v>J08</x:v>
      </x:c>
      <x:c r="C182" s="17" t="str">
        <x:v>事件中心与统计</x:v>
      </x:c>
      <x:c r="D182" s="17" t="str">
        <x:v>P0</x:v>
      </x:c>
      <x:c r="E182" s="17" t="str">
        <x:v>多通道同一时间事件隔离</x:v>
      </x:c>
      <x:c r="F182" s="17" t="str">
        <x:v>每类事件至少一条已确认落库；时钟一致；两通道同时触发</x:v>
      </x:c>
      <x:c r="G182" s="17" t="str">
        <x:v>固定正负视频；人脸工服车牌与进出真值</x:v>
      </x:c>
      <x:c r="H182" s="17" t="str">
        <x:v>1. 同时跑不同场景
2. 查询各自窗口
3. 导出对账</x:v>
      </x:c>
      <x:c r="I182" s="17" t="str">
        <x:v>通道算法时间联合过滤准确；每条只归属对应事件；不靠WebSocket消息数验收。</x:v>
      </x:c>
      <x:c r="J182" s="17" t="str">
        <x:v>只删除本轮允许清理的事件；恢复查询条件</x:v>
      </x:c>
      <x:c r="K182" s="17" t="str">
        <x:v>步骤观察、实际结果、证据文件与清理核对</x:v>
      </x:c>
      <x:c r="L182" s="17" t="str">
        <x:v>UI主操作＋API只读核对</x:v>
      </x:c>
      <x:c r="M182" s="17" t="str">
        <x:v>受影响模块回归</x:v>
      </x:c>
      <x:c r="N182" s="17" t="str">
        <x:v>目标设备具备该能力</x:v>
      </x:c>
      <x:c r="O182" s="17" t="str">
        <x:v>src/web/src/views/box/eventQuery；src/web/src/api/box.js；docs/guide/accuracy-evaluation.md</x:v>
      </x:c>
      <x:c r="P182" s="17" t="str">
        <x:v>未执行</x:v>
      </x:c>
      <x:c r="Q182" s="19" t="str"/>
      <x:c r="R182" s="17" t="str"/>
      <x:c r="S182" s="17" t="str"/>
      <x:c r="T182" s="17" t="n">
        <x:v>1</x:v>
      </x:c>
      <x:c r="U182" s="17" t="str">
        <x:v>DUT；FACE-VIDEO；SCENARIO-TRUTH</x:v>
      </x:c>
      <x:c r="V182" s="17" t="str">
        <x:v>codex-ui-and-evidence</x:v>
      </x:c>
      <x:c r="W182" s="17" t="str"/>
      <x:c r="X182" s="17" t="str"/>
      <x:c r="Y182" s="17" t="str"/>
      <x:c r="Z182" s="17" t="str"/>
      <x:c r="AA182" s="17" t="str"/>
      <x:c r="AB182" s="17" t="str"/>
      <x:c r="AC182" s="17" t="str"/>
    </x:row>
    <x:row r="183" ht="53" customHeight="1">
      <x:c r="A183" s="4" t="str">
        <x:v>EVENT-009</x:v>
      </x:c>
      <x:c r="B183" s="4" t="str">
        <x:v>J08</x:v>
      </x:c>
      <x:c r="C183" s="4" t="str">
        <x:v>事件中心与统计</x:v>
      </x:c>
      <x:c r="D183" s="4" t="str">
        <x:v>P1</x:v>
      </x:c>
      <x:c r="E183" s="4" t="str">
        <x:v>删除入口与后端契约核对</x:v>
      </x:c>
      <x:c r="F183" s="4" t="str">
        <x:v>每类事件至少一条已确认落库；时钟一致；源码前端声明event/delete但路由表未发现注册</x:v>
      </x:c>
      <x:c r="G183" s="4" t="str">
        <x:v>固定正负视频；人脸工服车牌与进出真值</x:v>
      </x:c>
      <x:c r="H183" s="4" t="str">
        <x:v>1. 检查目标UI是否有删除
2. 隔离测试合法调用
3. 验证状态和列表</x:v>
      </x:c>
      <x:c r="I183" s="4" t="str">
        <x:v>若UI提供删除而后端不支持记缺陷；无入口时记接口差异待评审，不能编造已实现删除能力。</x:v>
      </x:c>
      <x:c r="J183" s="4" t="str">
        <x:v>只删除本轮允许清理的事件；恢复查询条件</x:v>
      </x:c>
      <x:c r="K183" s="4" t="str">
        <x:v>步骤观察、实际结果、证据文件与清理核对</x:v>
      </x:c>
      <x:c r="L183" s="4" t="str">
        <x:v>UI主操作＋API只读核对</x:v>
      </x:c>
      <x:c r="M183" s="4" t="str">
        <x:v>受影响模块回归</x:v>
      </x:c>
      <x:c r="N183" s="4" t="str">
        <x:v>目标设备具备该能力</x:v>
      </x:c>
      <x:c r="O183" s="4" t="str">
        <x:v>src/web/src/views/box/eventQuery；src/web/src/api/box.js；docs/guide/accuracy-evaluation.md</x:v>
      </x:c>
      <x:c r="P183" s="4" t="str">
        <x:v>未执行</x:v>
      </x:c>
      <x:c r="Q183" s="19" t="str"/>
      <x:c r="R183" s="12" t="str"/>
      <x:c r="S183" s="12" t="str"/>
      <x:c r="T183" s="4" t="n">
        <x:v>1</x:v>
      </x:c>
      <x:c r="U183" s="4" t="str">
        <x:v>DUT；FACE-VIDEO</x:v>
      </x:c>
      <x:c r="V183" s="4" t="str">
        <x:v>codex-ui-and-evidence</x:v>
      </x:c>
      <x:c r="W183" s="4" t="str"/>
      <x:c r="X183" s="4" t="str"/>
      <x:c r="Y183" s="4" t="str"/>
      <x:c r="Z183" s="4" t="str"/>
      <x:c r="AA183" s="4" t="str"/>
      <x:c r="AB183" s="4" t="str"/>
      <x:c r="AC183" s="4" t="str"/>
    </x:row>
    <x:row r="184" ht="68" customHeight="1">
      <x:c r="A184" s="17" t="str">
        <x:v>EVENT-010</x:v>
      </x:c>
      <x:c r="B184" s="17" t="str">
        <x:v>J08</x:v>
      </x:c>
      <x:c r="C184" s="17" t="str">
        <x:v>事件中心与统计</x:v>
      </x:c>
      <x:c r="D184" s="17" t="str">
        <x:v>P1</x:v>
      </x:c>
      <x:c r="E184" s="17" t="str">
        <x:v>媒体已清理后的记录</x:v>
      </x:c>
      <x:c r="F184" s="17" t="str">
        <x:v>每类事件至少一条已确认落库；时钟一致；本轮测试事件媒体被明确清理</x:v>
      </x:c>
      <x:c r="G184" s="17" t="str">
        <x:v>固定正负视频；人脸工服车牌与进出真值</x:v>
      </x:c>
      <x:c r="H184" s="17" t="str">
        <x:v>1. 查询历史记录
2. 打开详情
3. 点击下载
4. 刷新</x:v>
      </x:c>
      <x:c r="I184" s="17" t="str">
        <x:v>缺失媒体有明确提示；记录元数据按清理契约保留或清除；不无限加载。</x:v>
      </x:c>
      <x:c r="J184" s="17" t="str">
        <x:v>只删除本轮允许清理的事件；恢复查询条件</x:v>
      </x:c>
      <x:c r="K184" s="17" t="str">
        <x:v>步骤观察、实际结果、证据文件与清理核对</x:v>
      </x:c>
      <x:c r="L184" s="17" t="str">
        <x:v>UI主操作＋API只读核对</x:v>
      </x:c>
      <x:c r="M184" s="17" t="str">
        <x:v>受影响模块回归</x:v>
      </x:c>
      <x:c r="N184" s="17" t="str">
        <x:v>目标设备具备该能力</x:v>
      </x:c>
      <x:c r="O184" s="17" t="str">
        <x:v>src/web/src/views/box/eventQuery；src/web/src/api/box.js；docs/guide/accuracy-evaluation.md</x:v>
      </x:c>
      <x:c r="P184" s="17" t="str">
        <x:v>未执行</x:v>
      </x:c>
      <x:c r="Q184" s="19" t="str"/>
      <x:c r="R184" s="17" t="str"/>
      <x:c r="S184" s="17" t="str"/>
      <x:c r="T184" s="17" t="n">
        <x:v>1</x:v>
      </x:c>
      <x:c r="U184" s="17" t="str">
        <x:v>DUT；FACE-VIDEO</x:v>
      </x:c>
      <x:c r="V184" s="17" t="str">
        <x:v>codex-ui-and-evidence</x:v>
      </x:c>
      <x:c r="W184" s="17" t="str"/>
      <x:c r="X184" s="17" t="str"/>
      <x:c r="Y184" s="17" t="str"/>
      <x:c r="Z184" s="17" t="str"/>
      <x:c r="AA184" s="17" t="str"/>
      <x:c r="AB184" s="17" t="str"/>
      <x:c r="AC184" s="17" t="str"/>
    </x:row>
    <x:row r="185" ht="68" customHeight="1">
      <x:c r="A185" s="4" t="str">
        <x:v>EVENT-011</x:v>
      </x:c>
      <x:c r="B185" s="4" t="str">
        <x:v>J08</x:v>
      </x:c>
      <x:c r="C185" s="4" t="str">
        <x:v>事件中心与统计</x:v>
      </x:c>
      <x:c r="D185" s="4" t="str">
        <x:v>P1</x:v>
      </x:c>
      <x:c r="E185" s="4" t="str">
        <x:v>空集大量事件和注入字符串</x:v>
      </x:c>
      <x:c r="F185" s="4" t="str">
        <x:v>每类事件至少一条已确认落库；时钟一致；适量隔离数据与无害特殊字符</x:v>
      </x:c>
      <x:c r="G185" s="4" t="str">
        <x:v>固定正负视频；人脸工服车牌与进出真值</x:v>
      </x:c>
      <x:c r="H185" s="4" t="str">
        <x:v>1. 查询无结果
2. 分页大量事件
3. 名称含尖括号等字符
4. 导出</x:v>
      </x:c>
      <x:c r="I185" s="4" t="str">
        <x:v>空态正常；分页稳定；文本不作为脚本执行；导出表格不执行公式输入。</x:v>
      </x:c>
      <x:c r="J185" s="4" t="str">
        <x:v>只删除本轮允许清理的事件；恢复查询条件</x:v>
      </x:c>
      <x:c r="K185" s="4" t="str">
        <x:v>步骤观察、实际结果、证据文件与清理核对</x:v>
      </x:c>
      <x:c r="L185" s="4" t="str">
        <x:v>UI主操作＋API只读核对</x:v>
      </x:c>
      <x:c r="M185" s="4" t="str">
        <x:v>受影响模块回归</x:v>
      </x:c>
      <x:c r="N185" s="4" t="str">
        <x:v>目标设备具备该能力</x:v>
      </x:c>
      <x:c r="O185" s="4" t="str">
        <x:v>src/web/src/views/box/eventQuery；src/web/src/api/box.js；docs/guide/accuracy-evaluation.md</x:v>
      </x:c>
      <x:c r="P185" s="4" t="str">
        <x:v>未执行</x:v>
      </x:c>
      <x:c r="Q185" s="19" t="str"/>
      <x:c r="R185" s="12" t="str"/>
      <x:c r="S185" s="12" t="str"/>
      <x:c r="T185" s="4" t="n">
        <x:v>1</x:v>
      </x:c>
      <x:c r="U185" s="4" t="str">
        <x:v>DUT；FACE-VIDEO</x:v>
      </x:c>
      <x:c r="V185" s="4" t="str">
        <x:v>codex-ui-and-evidence</x:v>
      </x:c>
      <x:c r="W185" s="4" t="str"/>
      <x:c r="X185" s="4" t="str"/>
      <x:c r="Y185" s="4" t="str"/>
      <x:c r="Z185" s="4" t="str"/>
      <x:c r="AA185" s="4" t="str"/>
      <x:c r="AB185" s="4" t="str"/>
      <x:c r="AC185" s="4" t="str"/>
    </x:row>
    <x:row r="186" ht="68" customHeight="1">
      <x:c r="A186" s="17" t="str">
        <x:v>PUSH-001</x:v>
      </x:c>
      <x:c r="B186" s="17" t="str">
        <x:v>J09</x:v>
      </x:c>
      <x:c r="C186" s="17" t="str">
        <x:v>数据对接</x:v>
      </x:c>
      <x:c r="D186" s="17" t="str">
        <x:v>P0</x:v>
      </x:c>
      <x:c r="E186" s="17" t="str">
        <x:v>HTTP 配置保存及告警闭环</x:v>
      </x:c>
      <x:c r="F186" s="17" t="str">
        <x:v>测试网络可达；正样本能稳定产生事件</x:v>
      </x:c>
      <x:c r="G186" s="17" t="str">
        <x:v>隔离HTTP接收端；MQTT Broker；test/push-test-service</x:v>
      </x:c>
      <x:c r="H186" s="17" t="str">
        <x:v>1. 启用HTTP推送填隔离接收URL
2. 保存刷新
3. 触发固定事件
4. 对比接收体与落库记录</x:v>
      </x:c>
      <x:c r="I186" s="17" t="str">
        <x:v>收到正确通道算法时间事件ID及可用媒体信息；保存不等于发送成功。</x:v>
      </x:c>
      <x:c r="J186" s="17" t="str">
        <x:v>关闭本轮推送；恢复原地址配置；停止测试接收端</x:v>
      </x:c>
      <x:c r="K186" s="17" t="str">
        <x:v>步骤观察、实际结果、证据文件与清理核对</x:v>
      </x:c>
      <x:c r="L186" s="17" t="str">
        <x:v>UI主操作＋API只读核对</x:v>
      </x:c>
      <x:c r="M186" s="17" t="str">
        <x:v>每次变更冒烟</x:v>
      </x:c>
      <x:c r="N186" s="17" t="str">
        <x:v>目标设备具备该能力</x:v>
      </x:c>
      <x:c r="O186" s="17" t="str">
        <x:v>src/web/src/views/box/dataDocking/index.vue；docs/reference/mqtt.md；docs/reference/webhook.md；test/push-test-service</x:v>
      </x:c>
      <x:c r="P186" s="17" t="str">
        <x:v>未执行</x:v>
      </x:c>
      <x:c r="Q186" s="19" t="str"/>
      <x:c r="R186" s="17" t="str"/>
      <x:c r="S186" s="17" t="str"/>
      <x:c r="T186" s="17" t="n">
        <x:v>1</x:v>
      </x:c>
      <x:c r="U186" s="17" t="str">
        <x:v>DUT；HTTP-RECEIVER；PUSH-AUTHORIZATION</x:v>
      </x:c>
      <x:c r="V186" s="17" t="str">
        <x:v>codex-ui-and-evidence</x:v>
      </x:c>
      <x:c r="W186" s="17" t="str"/>
      <x:c r="X186" s="17" t="str"/>
      <x:c r="Y186" s="17" t="str"/>
      <x:c r="Z186" s="17" t="str"/>
      <x:c r="AA186" s="17" t="str"/>
      <x:c r="AB186" s="17" t="str"/>
      <x:c r="AC186" s="17" t="str"/>
    </x:row>
    <x:row r="187" ht="53" customHeight="1">
      <x:c r="A187" s="4" t="str">
        <x:v>PUSH-002</x:v>
      </x:c>
      <x:c r="B187" s="4" t="str">
        <x:v>J09</x:v>
      </x:c>
      <x:c r="C187" s="4" t="str">
        <x:v>数据对接</x:v>
      </x:c>
      <x:c r="D187" s="4" t="str">
        <x:v>P0</x:v>
      </x:c>
      <x:c r="E187" s="4" t="str">
        <x:v>HTTP 失败超时与恢复</x:v>
      </x:c>
      <x:c r="F187" s="4" t="str">
        <x:v>测试网络可达；正样本能稳定产生事件；接收端可返回500/超时</x:v>
      </x:c>
      <x:c r="G187" s="4" t="str">
        <x:v>隔离HTTP接收端；MQTT Broker；test/push-test-service</x:v>
      </x:c>
      <x:c r="H187" s="4" t="str">
        <x:v>1. 依次返回成功、500和超时
2. 观察任务及推送日志
3. 恢复</x:v>
      </x:c>
      <x:c r="I187" s="4" t="str">
        <x:v>主推理不被阻塞；失败可观测；重试按当前策略核对，不假定恰好一次交付。</x:v>
      </x:c>
      <x:c r="J187" s="4" t="str">
        <x:v>关闭本轮推送；恢复原地址配置；停止测试接收端</x:v>
      </x:c>
      <x:c r="K187" s="4" t="str">
        <x:v>步骤观察、实际结果、证据文件与清理核对</x:v>
      </x:c>
      <x:c r="L187" s="4" t="str">
        <x:v>UI主操作＋API只读核对</x:v>
      </x:c>
      <x:c r="M187" s="4" t="str">
        <x:v>受影响模块回归</x:v>
      </x:c>
      <x:c r="N187" s="4" t="str">
        <x:v>目标设备具备该能力</x:v>
      </x:c>
      <x:c r="O187" s="4" t="str">
        <x:v>src/web/src/views/box/dataDocking/index.vue；docs/reference/mqtt.md；docs/reference/webhook.md；test/push-test-service</x:v>
      </x:c>
      <x:c r="P187" s="4" t="str">
        <x:v>未执行</x:v>
      </x:c>
      <x:c r="Q187" s="19" t="str"/>
      <x:c r="R187" s="12" t="str"/>
      <x:c r="S187" s="12" t="str"/>
      <x:c r="T187" s="4" t="n">
        <x:v>1</x:v>
      </x:c>
      <x:c r="U187" s="4" t="str">
        <x:v>DUT；HTTP-RECEIVER；PUSH-AUTHORIZATION</x:v>
      </x:c>
      <x:c r="V187" s="4" t="str">
        <x:v>codex-ui-and-evidence</x:v>
      </x:c>
      <x:c r="W187" s="4" t="str"/>
      <x:c r="X187" s="4" t="str"/>
      <x:c r="Y187" s="4" t="str"/>
      <x:c r="Z187" s="4" t="str"/>
      <x:c r="AA187" s="4" t="str"/>
      <x:c r="AB187" s="4" t="str"/>
      <x:c r="AC187" s="4" t="str"/>
    </x:row>
    <x:row r="188" ht="68" customHeight="1">
      <x:c r="A188" s="17" t="str">
        <x:v>PUSH-003</x:v>
      </x:c>
      <x:c r="B188" s="17" t="str">
        <x:v>J09</x:v>
      </x:c>
      <x:c r="C188" s="17" t="str">
        <x:v>数据对接</x:v>
      </x:c>
      <x:c r="D188" s="17" t="str">
        <x:v>P1</x:v>
      </x:c>
      <x:c r="E188" s="17" t="str">
        <x:v>HTTP 禁用和非法地址</x:v>
      </x:c>
      <x:c r="F188" s="17" t="str">
        <x:v>测试网络可达；正样本能稳定产生事件</x:v>
      </x:c>
      <x:c r="G188" s="17" t="str">
        <x:v>隔离HTTP接收端；MQTT Broker；test/push-test-service</x:v>
      </x:c>
      <x:c r="H188" s="17" t="str">
        <x:v>1. 输入空值非法协议
2. 保存
3. 正常启用后关闭
4. 再触发</x:v>
      </x:c>
      <x:c r="I188" s="17" t="str">
        <x:v>校验清晰；关闭后不再发送新增推送；界面和回读状态一致。</x:v>
      </x:c>
      <x:c r="J188" s="17" t="str">
        <x:v>关闭本轮推送；恢复原地址配置；停止测试接收端</x:v>
      </x:c>
      <x:c r="K188" s="17" t="str">
        <x:v>步骤观察、实际结果、证据文件与清理核对</x:v>
      </x:c>
      <x:c r="L188" s="17" t="str">
        <x:v>UI主操作＋API只读核对</x:v>
      </x:c>
      <x:c r="M188" s="17" t="str">
        <x:v>受影响模块回归</x:v>
      </x:c>
      <x:c r="N188" s="17" t="str">
        <x:v>目标设备具备该能力</x:v>
      </x:c>
      <x:c r="O188" s="17" t="str">
        <x:v>src/web/src/views/box/dataDocking/index.vue；docs/reference/mqtt.md；docs/reference/webhook.md；test/push-test-service</x:v>
      </x:c>
      <x:c r="P188" s="17" t="str">
        <x:v>未执行</x:v>
      </x:c>
      <x:c r="Q188" s="19" t="str"/>
      <x:c r="R188" s="17" t="str"/>
      <x:c r="S188" s="17" t="str"/>
      <x:c r="T188" s="17" t="n">
        <x:v>1</x:v>
      </x:c>
      <x:c r="U188" s="17" t="str">
        <x:v>DUT；HTTP-RECEIVER；PUSH-AUTHORIZATION</x:v>
      </x:c>
      <x:c r="V188" s="17" t="str">
        <x:v>codex-ui-and-evidence</x:v>
      </x:c>
      <x:c r="W188" s="17" t="str"/>
      <x:c r="X188" s="17" t="str"/>
      <x:c r="Y188" s="17" t="str"/>
      <x:c r="Z188" s="17" t="str"/>
      <x:c r="AA188" s="17" t="str"/>
      <x:c r="AB188" s="17" t="str"/>
      <x:c r="AC188" s="17" t="str"/>
    </x:row>
    <x:row r="189" ht="68" customHeight="1">
      <x:c r="A189" s="4" t="str">
        <x:v>PUSH-004</x:v>
      </x:c>
      <x:c r="B189" s="4" t="str">
        <x:v>J09</x:v>
      </x:c>
      <x:c r="C189" s="4" t="str">
        <x:v>数据对接</x:v>
      </x:c>
      <x:c r="D189" s="4" t="str">
        <x:v>P0</x:v>
      </x:c>
      <x:c r="E189" s="4" t="str">
        <x:v>MQTT 注册心跳与业务响应关联</x:v>
      </x:c>
      <x:c r="F189" s="4" t="str">
        <x:v>隔离Broker可达；已核对设备当前MQTT协议；已记录原配置。</x:v>
      </x:c>
      <x:c r="G189" s="4" t="str">
        <x:v>隔离HTTP接收端；MQTT Broker；test/push-test-service</x:v>
      </x:c>
      <x:c r="H189" s="4" t="str">
        <x:v>1. UI启用并填写Broker地址端口
2. 观察注册与至少两次心跳
3. 按协议下发只读设备信息请求
4. 按requestId核对响应topic、设备标识和业务结果</x:v>
      </x:c>
      <x:c r="I189" s="4" t="str">
        <x:v>注册、心跳、业务请求和响应符合设备当前协议；UI在线与真实连接一致；响应requestId准确关联。当前协议未定义主动告警topic时，不要求MQTT主动推送告警，HTTP告警闭环由PUSH-001覆盖。</x:v>
      </x:c>
      <x:c r="J189" s="4" t="str">
        <x:v>关闭本轮推送；恢复原地址配置；停止测试接收端</x:v>
      </x:c>
      <x:c r="K189" s="4" t="str">
        <x:v>步骤观察、实际结果、证据文件与清理核对</x:v>
      </x:c>
      <x:c r="L189" s="4" t="str">
        <x:v>UI主操作＋API只读核对</x:v>
      </x:c>
      <x:c r="M189" s="4" t="str">
        <x:v>受影响模块回归</x:v>
      </x:c>
      <x:c r="N189" s="4" t="str">
        <x:v>目标设备具备该能力</x:v>
      </x:c>
      <x:c r="O189" s="4" t="str">
        <x:v>src/web/src/views/box/dataDocking/index.vue；docs/reference/mqtt.md；docs/reference/webhook.md；test/push-test-service</x:v>
      </x:c>
      <x:c r="P189" s="4" t="str">
        <x:v>未执行</x:v>
      </x:c>
      <x:c r="Q189" s="19" t="str"/>
      <x:c r="R189" s="12" t="str"/>
      <x:c r="S189" s="12" t="str"/>
      <x:c r="T189" s="4" t="n">
        <x:v>2</x:v>
      </x:c>
      <x:c r="U189" s="4" t="str">
        <x:v>DUT；MQTT-BROKER；PUSH-AUTHORIZATION</x:v>
      </x:c>
      <x:c r="V189" s="4" t="str">
        <x:v>codex-ui-and-evidence</x:v>
      </x:c>
      <x:c r="W189" s="4" t="str"/>
      <x:c r="X189" s="4" t="str"/>
      <x:c r="Y189" s="4" t="str"/>
      <x:c r="Z189" s="4" t="str"/>
      <x:c r="AA189" s="4" t="str"/>
      <x:c r="AB189" s="4" t="str"/>
      <x:c r="AC189" s="4" t="str"/>
    </x:row>
    <x:row r="190" ht="38" customHeight="1">
      <x:c r="A190" s="17" t="str">
        <x:v>PUSH-005</x:v>
      </x:c>
      <x:c r="B190" s="17" t="str">
        <x:v>J09</x:v>
      </x:c>
      <x:c r="C190" s="17" t="str">
        <x:v>数据对接</x:v>
      </x:c>
      <x:c r="D190" s="17" t="str">
        <x:v>P1</x:v>
      </x:c>
      <x:c r="E190" s="17" t="str">
        <x:v>MQTT 端口输入校验</x:v>
      </x:c>
      <x:c r="F190" s="17" t="str">
        <x:v>测试网络可达；正样本能稳定产生事件</x:v>
      </x:c>
      <x:c r="G190" s="17" t="str">
        <x:v>隔离HTTP接收端；MQTT Broker；test/push-test-service</x:v>
      </x:c>
      <x:c r="H190" s="17" t="str">
        <x:v>1. 输入空值、0、65536、负数、小数和合法端口
2. 保存重开</x:v>
      </x:c>
      <x:c r="I190" s="17" t="str">
        <x:v>无效端口不持久化；合法1–65535内端口按后端契约接受；i18n提示正确。</x:v>
      </x:c>
      <x:c r="J190" s="17" t="str">
        <x:v>关闭本轮推送；恢复原地址配置；停止测试接收端</x:v>
      </x:c>
      <x:c r="K190" s="17" t="str">
        <x:v>步骤观察、实际结果、证据文件与清理核对</x:v>
      </x:c>
      <x:c r="L190" s="17" t="str">
        <x:v>UI主操作＋API只读核对</x:v>
      </x:c>
      <x:c r="M190" s="17" t="str">
        <x:v>受影响模块回归</x:v>
      </x:c>
      <x:c r="N190" s="17" t="str">
        <x:v>目标设备具备该能力</x:v>
      </x:c>
      <x:c r="O190" s="17" t="str">
        <x:v>src/web/src/views/box/dataDocking/index.vue；docs/reference/mqtt.md；docs/reference/webhook.md；test/push-test-service</x:v>
      </x:c>
      <x:c r="P190" s="17" t="str">
        <x:v>未执行</x:v>
      </x:c>
      <x:c r="Q190" s="19" t="str"/>
      <x:c r="R190" s="17" t="str"/>
      <x:c r="S190" s="17" t="str"/>
      <x:c r="T190" s="17" t="n">
        <x:v>1</x:v>
      </x:c>
      <x:c r="U190" s="17" t="str">
        <x:v>DUT</x:v>
      </x:c>
      <x:c r="V190" s="17" t="str">
        <x:v>codex-ui-and-evidence</x:v>
      </x:c>
      <x:c r="W190" s="17" t="str"/>
      <x:c r="X190" s="17" t="str"/>
      <x:c r="Y190" s="17" t="str"/>
      <x:c r="Z190" s="17" t="str"/>
      <x:c r="AA190" s="17" t="str"/>
      <x:c r="AB190" s="17" t="str"/>
      <x:c r="AC190" s="17" t="str"/>
    </x:row>
    <x:row r="191" ht="53" customHeight="1">
      <x:c r="A191" s="4" t="str">
        <x:v>PUSH-006</x:v>
      </x:c>
      <x:c r="B191" s="4" t="str">
        <x:v>J09</x:v>
      </x:c>
      <x:c r="C191" s="4" t="str">
        <x:v>数据对接</x:v>
      </x:c>
      <x:c r="D191" s="4" t="str">
        <x:v>P0</x:v>
      </x:c>
      <x:c r="E191" s="4" t="str">
        <x:v>MQTT 重连和设备标识隔离</x:v>
      </x:c>
      <x:c r="F191" s="4" t="str">
        <x:v>测试网络可达；正样本能稳定产生事件；两个隔离客户端身份</x:v>
      </x:c>
      <x:c r="G191" s="4" t="str">
        <x:v>隔离HTTP接收端；MQTT Broker；test/push-test-service</x:v>
      </x:c>
      <x:c r="H191" s="4" t="str">
        <x:v>1. 断开Broker再恢复
2. 同时模拟另一设备
3. 观察订阅命令和告警</x:v>
      </x:c>
      <x:c r="I191" s="4" t="str">
        <x:v>会话恢复可观测；不把其他设备命令应用本机；重复消息处理按协议记录。</x:v>
      </x:c>
      <x:c r="J191" s="4" t="str">
        <x:v>关闭本轮推送；恢复原地址配置；停止测试接收端</x:v>
      </x:c>
      <x:c r="K191" s="4" t="str">
        <x:v>步骤观察、实际结果、证据文件与清理核对</x:v>
      </x:c>
      <x:c r="L191" s="4" t="str">
        <x:v>UI主操作＋API只读核对</x:v>
      </x:c>
      <x:c r="M191" s="4" t="str">
        <x:v>受影响模块回归</x:v>
      </x:c>
      <x:c r="N191" s="4" t="str">
        <x:v>目标设备具备该能力</x:v>
      </x:c>
      <x:c r="O191" s="4" t="str">
        <x:v>src/web/src/views/box/dataDocking/index.vue；docs/reference/mqtt.md；docs/reference/webhook.md；test/push-test-service</x:v>
      </x:c>
      <x:c r="P191" s="4" t="str">
        <x:v>未执行</x:v>
      </x:c>
      <x:c r="Q191" s="19" t="str"/>
      <x:c r="R191" s="12" t="str"/>
      <x:c r="S191" s="12" t="str"/>
      <x:c r="T191" s="4" t="n">
        <x:v>1</x:v>
      </x:c>
      <x:c r="U191" s="4" t="str">
        <x:v>DUT；HTTP-RECEIVER；PUSH-AUTHORIZATION；MQTT-BROKER</x:v>
      </x:c>
      <x:c r="V191" s="4" t="str">
        <x:v>codex-ui-and-evidence</x:v>
      </x:c>
      <x:c r="W191" s="4" t="str"/>
      <x:c r="X191" s="4" t="str"/>
      <x:c r="Y191" s="4" t="str"/>
      <x:c r="Z191" s="4" t="str"/>
      <x:c r="AA191" s="4" t="str"/>
      <x:c r="AB191" s="4" t="str"/>
      <x:c r="AC191" s="4" t="str"/>
    </x:row>
    <x:row r="192" ht="53" customHeight="1">
      <x:c r="A192" s="17" t="str">
        <x:v>PUSH-007</x:v>
      </x:c>
      <x:c r="B192" s="17" t="str">
        <x:v>J09</x:v>
      </x:c>
      <x:c r="C192" s="17" t="str">
        <x:v>数据对接</x:v>
      </x:c>
      <x:c r="D192" s="17" t="str">
        <x:v>P0</x:v>
      </x:c>
      <x:c r="E192" s="17" t="str">
        <x:v>MQTT 受信传输边界</x:v>
      </x:c>
      <x:c r="F192" s="17" t="str">
        <x:v>测试网络可达；正样本能稳定产生事件；测试Broker可发送受控请求</x:v>
      </x:c>
      <x:c r="G192" s="17" t="str">
        <x:v>隔离HTTP接收端；MQTT Broker；test/push-test-service</x:v>
      </x:c>
      <x:c r="H192" s="17" t="str">
        <x:v>1. 未注册时发送管理请求
2. 完成注册后发送允许请求
3. HTTP无token对照</x:v>
      </x:c>
      <x:c r="I192" s="17" t="str">
        <x:v>受信MQTT与HTTP鉴权路径分开；无效来源不越权；不把MQTT内部信任当HTTP免认证。</x:v>
      </x:c>
      <x:c r="J192" s="17" t="str">
        <x:v>关闭本轮推送；恢复原地址配置；停止测试接收端</x:v>
      </x:c>
      <x:c r="K192" s="17" t="str">
        <x:v>步骤观察、实际结果、证据文件与清理核对</x:v>
      </x:c>
      <x:c r="L192" s="17" t="str">
        <x:v>UI主操作＋API只读核对</x:v>
      </x:c>
      <x:c r="M192" s="17" t="str">
        <x:v>受影响模块回归</x:v>
      </x:c>
      <x:c r="N192" s="17" t="str">
        <x:v>目标设备具备该能力</x:v>
      </x:c>
      <x:c r="O192" s="17" t="str">
        <x:v>src/web/src/views/box/dataDocking/index.vue；docs/reference/mqtt.md；docs/reference/webhook.md；test/push-test-service</x:v>
      </x:c>
      <x:c r="P192" s="17" t="str">
        <x:v>未执行</x:v>
      </x:c>
      <x:c r="Q192" s="19" t="str"/>
      <x:c r="R192" s="17" t="str"/>
      <x:c r="S192" s="17" t="str"/>
      <x:c r="T192" s="17" t="n">
        <x:v>1</x:v>
      </x:c>
      <x:c r="U192" s="17" t="str">
        <x:v>DUT；HTTP-RECEIVER；PUSH-AUTHORIZATION；MQTT-BROKER</x:v>
      </x:c>
      <x:c r="V192" s="17" t="str">
        <x:v>codex-ui-and-evidence</x:v>
      </x:c>
      <x:c r="W192" s="17" t="str"/>
      <x:c r="X192" s="17" t="str"/>
      <x:c r="Y192" s="17" t="str"/>
      <x:c r="Z192" s="17" t="str"/>
      <x:c r="AA192" s="17" t="str"/>
      <x:c r="AB192" s="17" t="str"/>
      <x:c r="AC192" s="17" t="str"/>
    </x:row>
    <x:row r="193" ht="83" customHeight="1">
      <x:c r="A193" s="4" t="str">
        <x:v>PUSH-008</x:v>
      </x:c>
      <x:c r="B193" s="4" t="str">
        <x:v>J09</x:v>
      </x:c>
      <x:c r="C193" s="4" t="str">
        <x:v>数据对接</x:v>
      </x:c>
      <x:c r="D193" s="4" t="str">
        <x:v>P1</x:v>
      </x:c>
      <x:c r="E193" s="4" t="str">
        <x:v>联网模式切换与默认值</x:v>
      </x:c>
      <x:c r="F193" s="4" t="str">
        <x:v>测试网络可达；正样本能稳定产生事件；隔离目标，明确Standalone/联网模式可用性</x:v>
      </x:c>
      <x:c r="G193" s="4" t="str">
        <x:v>隔离HTTP接收端；MQTT Broker；test/push-test-service</x:v>
      </x:c>
      <x:c r="H193" s="4" t="str">
        <x:v>1. 切运行模式
2. 设MQTT和HTTP联网参数
3. 重置默认
4. 保存刷新
5. 核对菜单</x:v>
      </x:c>
      <x:c r="I193" s="4" t="str">
        <x:v>模式参数持久化；runMode限制菜单符合源码；已有任务/库不静默丢失。</x:v>
      </x:c>
      <x:c r="J193" s="4" t="str">
        <x:v>关闭本轮推送；恢复原地址配置；停止测试接收端</x:v>
      </x:c>
      <x:c r="K193" s="4" t="str">
        <x:v>步骤观察、实际结果、证据文件与清理核对</x:v>
      </x:c>
      <x:c r="L193" s="4" t="str">
        <x:v>UI主操作＋API只读核对</x:v>
      </x:c>
      <x:c r="M193" s="4" t="str">
        <x:v>发布全量/高影响</x:v>
      </x:c>
      <x:c r="N193" s="4" t="str">
        <x:v>目标设备具备该能力</x:v>
      </x:c>
      <x:c r="O193" s="4" t="str">
        <x:v>src/web/src/views/box/dataDocking/index.vue；docs/reference/mqtt.md；docs/reference/webhook.md；test/push-test-service</x:v>
      </x:c>
      <x:c r="P193" s="4" t="str">
        <x:v>未执行</x:v>
      </x:c>
      <x:c r="Q193" s="19" t="str"/>
      <x:c r="R193" s="12" t="str"/>
      <x:c r="S193" s="12" t="str"/>
      <x:c r="T193" s="4" t="n">
        <x:v>1</x:v>
      </x:c>
      <x:c r="U193" s="4" t="str">
        <x:v>DUT</x:v>
      </x:c>
      <x:c r="V193" s="4" t="str">
        <x:v>codex-ui-and-evidence</x:v>
      </x:c>
      <x:c r="W193" s="4" t="str"/>
      <x:c r="X193" s="4" t="str"/>
      <x:c r="Y193" s="4" t="str"/>
      <x:c r="Z193" s="4" t="str"/>
      <x:c r="AA193" s="4" t="str"/>
      <x:c r="AB193" s="4" t="str"/>
      <x:c r="AC193" s="4" t="str"/>
    </x:row>
    <x:row r="194" ht="53" customHeight="1">
      <x:c r="A194" s="17" t="str">
        <x:v>PUSH-009</x:v>
      </x:c>
      <x:c r="B194" s="17" t="str">
        <x:v>J09</x:v>
      </x:c>
      <x:c r="C194" s="17" t="str">
        <x:v>数据对接</x:v>
      </x:c>
      <x:c r="D194" s="17" t="str">
        <x:v>P1</x:v>
      </x:c>
      <x:c r="E194" s="17" t="str">
        <x:v>接口文档与媒体地址可达</x:v>
      </x:c>
      <x:c r="F194" s="17" t="str">
        <x:v>测试网络可达；正样本能稳定产生事件</x:v>
      </x:c>
      <x:c r="G194" s="17" t="str">
        <x:v>隔离HTTP接收端；MQTT Broker；test/push-test-service</x:v>
      </x:c>
      <x:c r="H194" s="17" t="str">
        <x:v>1. 点击HTTP/MQTT接口文档
2. 从接收端访问事件媒体
3. 比对字段</x:v>
      </x:c>
      <x:c r="I194" s="17" t="str">
        <x:v>文档入口有效；接收端可用的地址不能是仅设备回环地址；鉴权行为符合实际契约。</x:v>
      </x:c>
      <x:c r="J194" s="17" t="str">
        <x:v>关闭本轮推送；恢复原地址配置；停止测试接收端</x:v>
      </x:c>
      <x:c r="K194" s="17" t="str">
        <x:v>步骤观察、实际结果、证据文件与清理核对</x:v>
      </x:c>
      <x:c r="L194" s="17" t="str">
        <x:v>UI主操作＋API只读核对</x:v>
      </x:c>
      <x:c r="M194" s="17" t="str">
        <x:v>受影响模块回归</x:v>
      </x:c>
      <x:c r="N194" s="17" t="str">
        <x:v>目标设备具备该能力</x:v>
      </x:c>
      <x:c r="O194" s="17" t="str">
        <x:v>src/web/src/views/box/dataDocking/index.vue；docs/reference/mqtt.md；docs/reference/webhook.md；test/push-test-service</x:v>
      </x:c>
      <x:c r="P194" s="17" t="str">
        <x:v>未执行</x:v>
      </x:c>
      <x:c r="Q194" s="19" t="str"/>
      <x:c r="R194" s="17" t="str"/>
      <x:c r="S194" s="17" t="str"/>
      <x:c r="T194" s="17" t="n">
        <x:v>1</x:v>
      </x:c>
      <x:c r="U194" s="17" t="str">
        <x:v>DUT；HTTP-RECEIVER；PUSH-AUTHORIZATION</x:v>
      </x:c>
      <x:c r="V194" s="17" t="str">
        <x:v>codex-ui-and-evidence</x:v>
      </x:c>
      <x:c r="W194" s="17" t="str"/>
      <x:c r="X194" s="17" t="str"/>
      <x:c r="Y194" s="17" t="str"/>
      <x:c r="Z194" s="17" t="str"/>
      <x:c r="AA194" s="17" t="str"/>
      <x:c r="AB194" s="17" t="str"/>
      <x:c r="AC194" s="17" t="str"/>
    </x:row>
    <x:row r="195" ht="68" customHeight="1">
      <x:c r="A195" s="4" t="str">
        <x:v>AUDIO-001</x:v>
      </x:c>
      <x:c r="B195" s="4" t="str">
        <x:v>J09</x:v>
      </x:c>
      <x:c r="C195" s="4" t="str">
        <x:v>音频音柱与联动</x:v>
      </x:c>
      <x:c r="D195" s="4" t="str">
        <x:v>P1</x:v>
      </x:c>
      <x:c r="E195" s="4" t="str">
        <x:v>音频上传列表播放删除</x:v>
      </x:c>
      <x:c r="F195" s="4" t="str">
        <x:v>runMode满足显示条件；隔离音柱及可听验证人员；按界面支持格式的短音频</x:v>
      </x:c>
      <x:c r="G195" s="4" t="str">
        <x:v>合法音频；网络音柱待补；告警样本</x:v>
      </x:c>
      <x:c r="H195" s="4" t="str">
        <x:v>1. 上传音频
2. 查询列表
3. 使用播放入口验证
4. 取消/确认删除</x:v>
      </x:c>
      <x:c r="I195" s="4" t="str">
        <x:v>音频内容正确、可播放、名称不乱码；删除状态回读；不支持格式明确拒绝。</x:v>
      </x:c>
      <x:c r="J195" s="4" t="str">
        <x:v>恢复音量与策略；删本轮音柱音频；关闭播放</x:v>
      </x:c>
      <x:c r="K195" s="4" t="str">
        <x:v>步骤观察、实际结果、证据文件与清理核对</x:v>
      </x:c>
      <x:c r="L195" s="4" t="str">
        <x:v>UI主操作＋API只读核对</x:v>
      </x:c>
      <x:c r="M195" s="4" t="str">
        <x:v>受影响模块回归</x:v>
      </x:c>
      <x:c r="N195" s="4" t="str">
        <x:v>目标设备具备该能力</x:v>
      </x:c>
      <x:c r="O195" s="4" t="str">
        <x:v>src/web/src/views/box/audioManagement；src/web/src/views/box/peripheralManagement；src/web/src/views/box/strategyManagement</x:v>
      </x:c>
      <x:c r="P195" s="4" t="str">
        <x:v>未执行</x:v>
      </x:c>
      <x:c r="Q195" s="19" t="str"/>
      <x:c r="R195" s="12" t="str"/>
      <x:c r="S195" s="12" t="str"/>
      <x:c r="T195" s="4" t="n">
        <x:v>1</x:v>
      </x:c>
      <x:c r="U195" s="4" t="str">
        <x:v>DUT；AUDIO-FILE</x:v>
      </x:c>
      <x:c r="V195" s="4" t="str">
        <x:v>codex-ui-and-evidence</x:v>
      </x:c>
      <x:c r="W195" s="4" t="str"/>
      <x:c r="X195" s="4" t="str"/>
      <x:c r="Y195" s="4" t="str"/>
      <x:c r="Z195" s="4" t="str"/>
      <x:c r="AA195" s="4" t="str"/>
      <x:c r="AB195" s="4" t="str"/>
      <x:c r="AC195" s="4" t="str"/>
    </x:row>
    <x:row r="196" ht="53" customHeight="1">
      <x:c r="A196" s="17" t="str">
        <x:v>AUDIO-002</x:v>
      </x:c>
      <x:c r="B196" s="17" t="str">
        <x:v>J09</x:v>
      </x:c>
      <x:c r="C196" s="17" t="str">
        <x:v>音频音柱与联动</x:v>
      </x:c>
      <x:c r="D196" s="17" t="str">
        <x:v>P1</x:v>
      </x:c>
      <x:c r="E196" s="17" t="str">
        <x:v>音频上传失败和重复名</x:v>
      </x:c>
      <x:c r="F196" s="17" t="str">
        <x:v>runMode满足显示条件；隔离音柱及可听验证人员；坏文件与重复名称</x:v>
      </x:c>
      <x:c r="G196" s="17" t="str">
        <x:v>合法音频；网络音柱待补；告警样本</x:v>
      </x:c>
      <x:c r="H196" s="17" t="str">
        <x:v>1. 分别上传
2. 断网重试
3. 上传合法文件</x:v>
      </x:c>
      <x:c r="I196" s="17" t="str">
        <x:v>不遗留可播放假条目；重名规则明确；分片清理遵守公共上传契约。</x:v>
      </x:c>
      <x:c r="J196" s="17" t="str">
        <x:v>恢复音量与策略；删本轮音柱音频；关闭播放</x:v>
      </x:c>
      <x:c r="K196" s="17" t="str">
        <x:v>步骤观察、实际结果、证据文件与清理核对</x:v>
      </x:c>
      <x:c r="L196" s="17" t="str">
        <x:v>UI主操作＋API只读核对</x:v>
      </x:c>
      <x:c r="M196" s="17" t="str">
        <x:v>受影响模块回归</x:v>
      </x:c>
      <x:c r="N196" s="17" t="str">
        <x:v>目标设备具备该能力</x:v>
      </x:c>
      <x:c r="O196" s="17" t="str">
        <x:v>src/web/src/views/box/audioManagement；src/web/src/views/box/peripheralManagement；src/web/src/views/box/strategyManagement</x:v>
      </x:c>
      <x:c r="P196" s="17" t="str">
        <x:v>未执行</x:v>
      </x:c>
      <x:c r="Q196" s="19" t="str"/>
      <x:c r="R196" s="17" t="str"/>
      <x:c r="S196" s="17" t="str"/>
      <x:c r="T196" s="17" t="n">
        <x:v>1</x:v>
      </x:c>
      <x:c r="U196" s="17" t="str">
        <x:v>DUT；AUDIO-FILE</x:v>
      </x:c>
      <x:c r="V196" s="17" t="str">
        <x:v>codex-ui-and-evidence</x:v>
      </x:c>
      <x:c r="W196" s="17" t="str"/>
      <x:c r="X196" s="17" t="str"/>
      <x:c r="Y196" s="17" t="str"/>
      <x:c r="Z196" s="17" t="str"/>
      <x:c r="AA196" s="17" t="str"/>
      <x:c r="AB196" s="17" t="str"/>
      <x:c r="AC196" s="17" t="str"/>
    </x:row>
    <x:row r="197" ht="83" customHeight="1">
      <x:c r="A197" s="4" t="str">
        <x:v>AUDIO-003</x:v>
      </x:c>
      <x:c r="B197" s="4" t="str">
        <x:v>J09</x:v>
      </x:c>
      <x:c r="C197" s="4" t="str">
        <x:v>音频音柱与联动</x:v>
      </x:c>
      <x:c r="D197" s="4" t="str">
        <x:v>P1</x:v>
      </x:c>
      <x:c r="E197" s="4" t="str">
        <x:v>音柱新增编辑测试删除</x:v>
      </x:c>
      <x:c r="F197" s="4" t="str">
        <x:v>runMode满足显示条件；隔离音柱及可听验证人员；真实音柱及账号协议已核对</x:v>
      </x:c>
      <x:c r="G197" s="4" t="str">
        <x:v>合法音频；网络音柱待补；告警样本</x:v>
      </x:c>
      <x:c r="H197" s="4" t="str">
        <x:v>1. 导入/新增设备
2. 编辑名称连接参数
3. 点测试
4. 现场核实播报
5. 删除</x:v>
      </x:c>
      <x:c r="I197" s="4" t="str">
        <x:v>调用成功与实际发声分别留证；离线错误可解释；没有硬件只能验证配置层。</x:v>
      </x:c>
      <x:c r="J197" s="4" t="str">
        <x:v>恢复音量与策略；删本轮音柱音频；关闭播放</x:v>
      </x:c>
      <x:c r="K197" s="4" t="str">
        <x:v>步骤观察、实际结果、证据文件与清理核对</x:v>
      </x:c>
      <x:c r="L197" s="4" t="str">
        <x:v>UI主操作＋API只读核对</x:v>
      </x:c>
      <x:c r="M197" s="4" t="str">
        <x:v>受影响模块回归</x:v>
      </x:c>
      <x:c r="N197" s="4" t="str">
        <x:v>目标设备具备该能力</x:v>
      </x:c>
      <x:c r="O197" s="4" t="str">
        <x:v>src/web/src/views/box/audioManagement；src/web/src/views/box/peripheralManagement；src/web/src/views/box/strategyManagement</x:v>
      </x:c>
      <x:c r="P197" s="4" t="str">
        <x:v>未执行</x:v>
      </x:c>
      <x:c r="Q197" s="19" t="str"/>
      <x:c r="R197" s="12" t="str"/>
      <x:c r="S197" s="12" t="str"/>
      <x:c r="T197" s="4" t="n">
        <x:v>1</x:v>
      </x:c>
      <x:c r="U197" s="4" t="str">
        <x:v>DUT；AUDIO-FILE；AUDIO-HARDWARE</x:v>
      </x:c>
      <x:c r="V197" s="4" t="str">
        <x:v>codex-ui-and-evidence</x:v>
      </x:c>
      <x:c r="W197" s="4" t="str"/>
      <x:c r="X197" s="4" t="str"/>
      <x:c r="Y197" s="4" t="str"/>
      <x:c r="Z197" s="4" t="str"/>
      <x:c r="AA197" s="4" t="str"/>
      <x:c r="AB197" s="4" t="str"/>
      <x:c r="AC197" s="4" t="str"/>
    </x:row>
    <x:row r="198" ht="83" customHeight="1">
      <x:c r="A198" s="17" t="str">
        <x:v>AUDIO-004</x:v>
      </x:c>
      <x:c r="B198" s="17" t="str">
        <x:v>J09</x:v>
      </x:c>
      <x:c r="C198" s="17" t="str">
        <x:v>音频音柱与联动</x:v>
      </x:c>
      <x:c r="D198" s="17" t="str">
        <x:v>P0</x:v>
      </x:c>
      <x:c r="E198" s="17" t="str">
        <x:v>创建联动策略并绑定</x:v>
      </x:c>
      <x:c r="F198" s="17" t="str">
        <x:v>runMode满足显示条件；隔离音柱及可听验证人员；音频音柱和告警数据动作均适用</x:v>
      </x:c>
      <x:c r="G198" s="17" t="str">
        <x:v>合法音频；网络音柱待补；告警样本</x:v>
      </x:c>
      <x:c r="H198" s="17" t="str">
        <x:v>1. 新建策略
2. 选告警数据及音频动作
3. 配参数连线保存
4. 绑定任务
5. 触发</x:v>
      </x:c>
      <x:c r="I198" s="17" t="str">
        <x:v>动作顺序参数回读；一次业务触发产生约定存储和播报；不串到无关音柱。</x:v>
      </x:c>
      <x:c r="J198" s="17" t="str">
        <x:v>恢复音量与策略；删本轮音柱音频；关闭播放</x:v>
      </x:c>
      <x:c r="K198" s="17" t="str">
        <x:v>步骤观察、实际结果、证据文件与清理核对</x:v>
      </x:c>
      <x:c r="L198" s="17" t="str">
        <x:v>UI主操作＋API只读核对</x:v>
      </x:c>
      <x:c r="M198" s="17" t="str">
        <x:v>受影响模块回归</x:v>
      </x:c>
      <x:c r="N198" s="17" t="str">
        <x:v>目标设备具备该能力</x:v>
      </x:c>
      <x:c r="O198" s="17" t="str">
        <x:v>src/web/src/views/box/audioManagement；src/web/src/views/box/peripheralManagement；src/web/src/views/box/strategyManagement</x:v>
      </x:c>
      <x:c r="P198" s="17" t="str">
        <x:v>未执行</x:v>
      </x:c>
      <x:c r="Q198" s="19" t="str"/>
      <x:c r="R198" s="17" t="str"/>
      <x:c r="S198" s="17" t="str"/>
      <x:c r="T198" s="17" t="n">
        <x:v>1</x:v>
      </x:c>
      <x:c r="U198" s="17" t="str">
        <x:v>DUT；AUDIO-FILE；AUDIO-HARDWARE</x:v>
      </x:c>
      <x:c r="V198" s="17" t="str">
        <x:v>codex-ui-and-evidence</x:v>
      </x:c>
      <x:c r="W198" s="17" t="str"/>
      <x:c r="X198" s="17" t="str"/>
      <x:c r="Y198" s="17" t="str"/>
      <x:c r="Z198" s="17" t="str"/>
      <x:c r="AA198" s="17" t="str"/>
      <x:c r="AB198" s="17" t="str"/>
      <x:c r="AC198" s="17" t="str"/>
    </x:row>
    <x:row r="199" ht="68" customHeight="1">
      <x:c r="A199" s="4" t="str">
        <x:v>AUDIO-005</x:v>
      </x:c>
      <x:c r="B199" s="4" t="str">
        <x:v>J09</x:v>
      </x:c>
      <x:c r="C199" s="4" t="str">
        <x:v>音频音柱与联动</x:v>
      </x:c>
      <x:c r="D199" s="4" t="str">
        <x:v>P1</x:v>
      </x:c>
      <x:c r="E199" s="4" t="str">
        <x:v>策略开关修改与删除</x:v>
      </x:c>
      <x:c r="F199" s="4" t="str">
        <x:v>runMode满足显示条件；隔离音柱及可听验证人员</x:v>
      </x:c>
      <x:c r="G199" s="4" t="str">
        <x:v>合法音频；网络音柱待补；告警样本</x:v>
      </x:c>
      <x:c r="H199" s="4" t="str">
        <x:v>1. 关闭策略触发
2. 开启触发
3. 修改音频再触发
4. 取消及确认删除</x:v>
      </x:c>
      <x:c r="I199" s="4" t="str">
        <x:v>开关真实生效；修改只影响目标策略；引用处理明确且无残留播放。</x:v>
      </x:c>
      <x:c r="J199" s="4" t="str">
        <x:v>恢复音量与策略；删本轮音柱音频；关闭播放</x:v>
      </x:c>
      <x:c r="K199" s="4" t="str">
        <x:v>步骤观察、实际结果、证据文件与清理核对</x:v>
      </x:c>
      <x:c r="L199" s="4" t="str">
        <x:v>UI主操作＋API只读核对</x:v>
      </x:c>
      <x:c r="M199" s="4" t="str">
        <x:v>受影响模块回归</x:v>
      </x:c>
      <x:c r="N199" s="4" t="str">
        <x:v>目标设备具备该能力</x:v>
      </x:c>
      <x:c r="O199" s="4" t="str">
        <x:v>src/web/src/views/box/audioManagement；src/web/src/views/box/peripheralManagement；src/web/src/views/box/strategyManagement</x:v>
      </x:c>
      <x:c r="P199" s="4" t="str">
        <x:v>未执行</x:v>
      </x:c>
      <x:c r="Q199" s="19" t="str"/>
      <x:c r="R199" s="12" t="str"/>
      <x:c r="S199" s="12" t="str"/>
      <x:c r="T199" s="4" t="n">
        <x:v>1</x:v>
      </x:c>
      <x:c r="U199" s="4" t="str">
        <x:v>DUT；AUDIO-FILE；AUDIO-HARDWARE</x:v>
      </x:c>
      <x:c r="V199" s="4" t="str">
        <x:v>codex-ui-and-evidence</x:v>
      </x:c>
      <x:c r="W199" s="4" t="str"/>
      <x:c r="X199" s="4" t="str"/>
      <x:c r="Y199" s="4" t="str"/>
      <x:c r="Z199" s="4" t="str"/>
      <x:c r="AA199" s="4" t="str"/>
      <x:c r="AB199" s="4" t="str"/>
      <x:c r="AC199" s="4" t="str"/>
    </x:row>
    <x:row r="200" ht="68" customHeight="1">
      <x:c r="A200" s="17" t="str">
        <x:v>AUDIO-006</x:v>
      </x:c>
      <x:c r="B200" s="17" t="str">
        <x:v>J09</x:v>
      </x:c>
      <x:c r="C200" s="17" t="str">
        <x:v>音频音柱与联动</x:v>
      </x:c>
      <x:c r="D200" s="17" t="str">
        <x:v>P1</x:v>
      </x:c>
      <x:c r="E200" s="17" t="str">
        <x:v>离线音柱重复事件与间隔</x:v>
      </x:c>
      <x:c r="F200" s="17" t="str">
        <x:v>runMode满足显示条件；隔离音柱及可听验证人员；受控离线与连续触发</x:v>
      </x:c>
      <x:c r="G200" s="17" t="str">
        <x:v>合法音频；网络音柱待补；告警样本</x:v>
      </x:c>
      <x:c r="H200" s="17" t="str">
        <x:v>1. 连续产生告警
2. 断开音柱
3. 恢复
4. 检查播报数量时间</x:v>
      </x:c>
      <x:c r="I200" s="17" t="str">
        <x:v>符合策略限频；外设失败不阻塞主推理；恢复行为有记录，无无限堆积。</x:v>
      </x:c>
      <x:c r="J200" s="17" t="str">
        <x:v>恢复音量与策略；删本轮音柱音频；关闭播放</x:v>
      </x:c>
      <x:c r="K200" s="17" t="str">
        <x:v>步骤观察、实际结果、证据文件与清理核对</x:v>
      </x:c>
      <x:c r="L200" s="17" t="str">
        <x:v>UI主操作＋API只读核对</x:v>
      </x:c>
      <x:c r="M200" s="17" t="str">
        <x:v>受影响模块回归</x:v>
      </x:c>
      <x:c r="N200" s="17" t="str">
        <x:v>目标设备具备该能力</x:v>
      </x:c>
      <x:c r="O200" s="17" t="str">
        <x:v>src/web/src/views/box/audioManagement；src/web/src/views/box/peripheralManagement；src/web/src/views/box/strategyManagement</x:v>
      </x:c>
      <x:c r="P200" s="17" t="str">
        <x:v>未执行</x:v>
      </x:c>
      <x:c r="Q200" s="19" t="str"/>
      <x:c r="R200" s="17" t="str"/>
      <x:c r="S200" s="17" t="str"/>
      <x:c r="T200" s="17" t="n">
        <x:v>1</x:v>
      </x:c>
      <x:c r="U200" s="17" t="str">
        <x:v>DUT；AUDIO-FILE；AUDIO-HARDWARE</x:v>
      </x:c>
      <x:c r="V200" s="17" t="str">
        <x:v>codex-ui-and-evidence</x:v>
      </x:c>
      <x:c r="W200" s="17" t="str"/>
      <x:c r="X200" s="17" t="str"/>
      <x:c r="Y200" s="17" t="str"/>
      <x:c r="Z200" s="17" t="str"/>
      <x:c r="AA200" s="17" t="str"/>
      <x:c r="AB200" s="17" t="str"/>
      <x:c r="AC200" s="17" t="str"/>
    </x:row>
    <x:row r="201" ht="53" customHeight="1">
      <x:c r="A201" s="4" t="str">
        <x:v>SYS-001</x:v>
      </x:c>
      <x:c r="B201" s="4" t="str">
        <x:v>J10</x:v>
      </x:c>
      <x:c r="C201" s="4" t="str">
        <x:v>系统设置与个性化</x:v>
      </x:c>
      <x:c r="D201" s="4" t="str">
        <x:v>P0</x:v>
      </x:c>
      <x:c r="E201" s="4" t="str">
        <x:v>设备信息和运行详情</x:v>
      </x:c>
      <x:c r="F201" s="4" t="str">
        <x:v>已备份原设置；可中断操作有窗口</x:v>
      </x:c>
      <x:c r="G201" s="4" t="str">
        <x:v>DUT；测试NTP；合法Logo</x:v>
      </x:c>
      <x:c r="H201" s="4" t="str">
        <x:v>1. 查看设备信息与任务运行详情
2. 核对版本平台资源
3. 启停一个任务刷新</x:v>
      </x:c>
      <x:c r="I201" s="4" t="str">
        <x:v>界面与真实运行状态一致；设备敏感标识只留私有记录；无任务不报伪正常负载。</x:v>
      </x:c>
      <x:c r="J201" s="4" t="str">
        <x:v>恢复时间画质录像定时重启Logo及所有原参数</x:v>
      </x:c>
      <x:c r="K201" s="4" t="str">
        <x:v>步骤观察、实际结果、证据文件与清理核对</x:v>
      </x:c>
      <x:c r="L201" s="4" t="str">
        <x:v>UI主操作＋API只读核对</x:v>
      </x:c>
      <x:c r="M201" s="4" t="str">
        <x:v>每次变更冒烟</x:v>
      </x:c>
      <x:c r="N201" s="4" t="str">
        <x:v>目标设备具备该能力</x:v>
      </x:c>
      <x:c r="O201" s="4" t="str">
        <x:v>src/web/src/views/box/systemManagement；src/api/ApiRouterRoutes.cc</x:v>
      </x:c>
      <x:c r="P201" s="4" t="str">
        <x:v>未执行</x:v>
      </x:c>
      <x:c r="Q201" s="19" t="str"/>
      <x:c r="R201" s="12" t="str"/>
      <x:c r="S201" s="12" t="str"/>
      <x:c r="T201" s="4" t="n">
        <x:v>1</x:v>
      </x:c>
      <x:c r="U201" s="4" t="str">
        <x:v>DUT</x:v>
      </x:c>
      <x:c r="V201" s="4" t="str">
        <x:v>codex-ui-and-evidence</x:v>
      </x:c>
      <x:c r="W201" s="4" t="str"/>
      <x:c r="X201" s="4" t="str"/>
      <x:c r="Y201" s="4" t="str"/>
      <x:c r="Z201" s="4" t="str"/>
      <x:c r="AA201" s="4" t="str"/>
      <x:c r="AB201" s="4" t="str"/>
      <x:c r="AC201" s="4" t="str"/>
    </x:row>
    <x:row r="202" ht="68" customHeight="1">
      <x:c r="A202" s="17" t="str">
        <x:v>SYS-002</x:v>
      </x:c>
      <x:c r="B202" s="17" t="str">
        <x:v>J10</x:v>
      </x:c>
      <x:c r="C202" s="17" t="str">
        <x:v>系统设置与个性化</x:v>
      </x:c>
      <x:c r="D202" s="17" t="str">
        <x:v>P1</x:v>
      </x:c>
      <x:c r="E202" s="17" t="str">
        <x:v>手动时间与NTP</x:v>
      </x:c>
      <x:c r="F202" s="17" t="str">
        <x:v>已备份原设置；可中断操作有窗口；隔离实例或明确校时窗口</x:v>
      </x:c>
      <x:c r="G202" s="17" t="str">
        <x:v>DUT；测试NTP；合法Logo</x:v>
      </x:c>
      <x:c r="H202" s="17" t="str">
        <x:v>1. 记录原时区时间
2. 手动校时
3. 配NTP测试及保存
4. 模拟不可达再恢复</x:v>
      </x:c>
      <x:c r="I202" s="17" t="str">
        <x:v>时间和事件顺序可解释；NTP失败提示且可恢复；不影响其他设备时间。</x:v>
      </x:c>
      <x:c r="J202" s="17" t="str">
        <x:v>恢复时间画质录像定时重启Logo及所有原参数</x:v>
      </x:c>
      <x:c r="K202" s="17" t="str">
        <x:v>步骤观察、实际结果、证据文件与清理核对</x:v>
      </x:c>
      <x:c r="L202" s="17" t="str">
        <x:v>UI主操作＋API只读核对</x:v>
      </x:c>
      <x:c r="M202" s="17" t="str">
        <x:v>发布全量/高影响</x:v>
      </x:c>
      <x:c r="N202" s="17" t="str">
        <x:v>目标设备具备该能力</x:v>
      </x:c>
      <x:c r="O202" s="17" t="str">
        <x:v>src/web/src/views/box/systemManagement；src/api/ApiRouterRoutes.cc</x:v>
      </x:c>
      <x:c r="P202" s="17" t="str">
        <x:v>未执行</x:v>
      </x:c>
      <x:c r="Q202" s="19" t="str"/>
      <x:c r="R202" s="17" t="str"/>
      <x:c r="S202" s="17" t="str"/>
      <x:c r="T202" s="17" t="n">
        <x:v>1</x:v>
      </x:c>
      <x:c r="U202" s="17" t="str">
        <x:v>DUT</x:v>
      </x:c>
      <x:c r="V202" s="17" t="str">
        <x:v>codex-ui-and-evidence</x:v>
      </x:c>
      <x:c r="W202" s="17" t="str"/>
      <x:c r="X202" s="17" t="str"/>
      <x:c r="Y202" s="17" t="str"/>
      <x:c r="Z202" s="17" t="str"/>
      <x:c r="AA202" s="17" t="str"/>
      <x:c r="AB202" s="17" t="str"/>
      <x:c r="AC202" s="17" t="str"/>
    </x:row>
    <x:row r="203" ht="68" customHeight="1">
      <x:c r="A203" s="4" t="str">
        <x:v>SYS-003</x:v>
      </x:c>
      <x:c r="B203" s="4" t="str">
        <x:v>J10</x:v>
      </x:c>
      <x:c r="C203" s="4" t="str">
        <x:v>系统设置与个性化</x:v>
      </x:c>
      <x:c r="D203" s="4" t="str">
        <x:v>P1</x:v>
      </x:c>
      <x:c r="E203" s="4" t="str">
        <x:v>画质和告警叠加参数</x:v>
      </x:c>
      <x:c r="F203" s="4" t="str">
        <x:v>已备份原设置；可中断操作有窗口；固定事件样本</x:v>
      </x:c>
      <x:c r="G203" s="4" t="str">
        <x:v>DUT；测试NTP；合法Logo</x:v>
      </x:c>
      <x:c r="H203" s="4" t="str">
        <x:v>1. 修改截图质量框标签等可见选项
2. 保存触发
3. 重置
4. 再触发</x:v>
      </x:c>
      <x:c r="I203" s="4" t="str">
        <x:v>参数回读且图片效果符合选项；重置值准确；其他任务参数不被改写。</x:v>
      </x:c>
      <x:c r="J203" s="4" t="str">
        <x:v>恢复时间画质录像定时重启Logo及所有原参数</x:v>
      </x:c>
      <x:c r="K203" s="4" t="str">
        <x:v>步骤观察、实际结果、证据文件与清理核对</x:v>
      </x:c>
      <x:c r="L203" s="4" t="str">
        <x:v>UI主操作＋API只读核对</x:v>
      </x:c>
      <x:c r="M203" s="4" t="str">
        <x:v>受影响模块回归</x:v>
      </x:c>
      <x:c r="N203" s="4" t="str">
        <x:v>目标设备具备该能力</x:v>
      </x:c>
      <x:c r="O203" s="4" t="str">
        <x:v>src/web/src/views/box/systemManagement；src/api/ApiRouterRoutes.cc</x:v>
      </x:c>
      <x:c r="P203" s="4" t="str">
        <x:v>未执行</x:v>
      </x:c>
      <x:c r="Q203" s="19" t="str"/>
      <x:c r="R203" s="12" t="str"/>
      <x:c r="S203" s="12" t="str"/>
      <x:c r="T203" s="4" t="n">
        <x:v>1</x:v>
      </x:c>
      <x:c r="U203" s="4" t="str">
        <x:v>DUT</x:v>
      </x:c>
      <x:c r="V203" s="4" t="str">
        <x:v>codex-ui-and-evidence</x:v>
      </x:c>
      <x:c r="W203" s="4" t="str"/>
      <x:c r="X203" s="4" t="str"/>
      <x:c r="Y203" s="4" t="str"/>
      <x:c r="Z203" s="4" t="str"/>
      <x:c r="AA203" s="4" t="str"/>
      <x:c r="AB203" s="4" t="str"/>
      <x:c r="AC203" s="4" t="str"/>
    </x:row>
    <x:row r="204" ht="68" customHeight="1">
      <x:c r="A204" s="17" t="str">
        <x:v>SYS-004</x:v>
      </x:c>
      <x:c r="B204" s="17" t="str">
        <x:v>J10</x:v>
      </x:c>
      <x:c r="C204" s="17" t="str">
        <x:v>系统设置与个性化</x:v>
      </x:c>
      <x:c r="D204" s="17" t="str">
        <x:v>P0</x:v>
      </x:c>
      <x:c r="E204" s="17" t="str">
        <x:v>告警录像时长与边界</x:v>
      </x:c>
      <x:c r="F204" s="17" t="str">
        <x:v>已备份原设置；可中断操作有窗口；可产生录像的固定视频</x:v>
      </x:c>
      <x:c r="G204" s="17" t="str">
        <x:v>DUT；测试NTP；合法Logo</x:v>
      </x:c>
      <x:c r="H204" s="17" t="str">
        <x:v>1. 设置录像前后时长及支持边界
2. 触发事件
3. 下载测时长
4. 输入非法值</x:v>
      </x:c>
      <x:c r="I204" s="17" t="str">
        <x:v>录像包含约定事件时段，容差按编码与实现评审锁定；非法值拒绝；不是只改页面数字。</x:v>
      </x:c>
      <x:c r="J204" s="17" t="str">
        <x:v>恢复时间画质录像定时重启Logo及所有原参数</x:v>
      </x:c>
      <x:c r="K204" s="17" t="str">
        <x:v>步骤观察、实际结果、证据文件与清理核对</x:v>
      </x:c>
      <x:c r="L204" s="17" t="str">
        <x:v>UI主操作＋API只读核对</x:v>
      </x:c>
      <x:c r="M204" s="17" t="str">
        <x:v>受影响模块回归</x:v>
      </x:c>
      <x:c r="N204" s="17" t="str">
        <x:v>目标设备具备该能力</x:v>
      </x:c>
      <x:c r="O204" s="17" t="str">
        <x:v>src/web/src/views/box/systemManagement；src/api/ApiRouterRoutes.cc</x:v>
      </x:c>
      <x:c r="P204" s="17" t="str">
        <x:v>未执行</x:v>
      </x:c>
      <x:c r="Q204" s="19" t="str"/>
      <x:c r="R204" s="17" t="str"/>
      <x:c r="S204" s="17" t="str"/>
      <x:c r="T204" s="17" t="n">
        <x:v>1</x:v>
      </x:c>
      <x:c r="U204" s="17" t="str">
        <x:v>DUT</x:v>
      </x:c>
      <x:c r="V204" s="17" t="str">
        <x:v>codex-ui-and-evidence</x:v>
      </x:c>
      <x:c r="W204" s="17" t="str"/>
      <x:c r="X204" s="17" t="str"/>
      <x:c r="Y204" s="17" t="str"/>
      <x:c r="Z204" s="17" t="str"/>
      <x:c r="AA204" s="17" t="str"/>
      <x:c r="AB204" s="17" t="str"/>
      <x:c r="AC204" s="17" t="str"/>
    </x:row>
    <x:row r="205" ht="83" customHeight="1">
      <x:c r="A205" s="4" t="str">
        <x:v>SYS-005</x:v>
      </x:c>
      <x:c r="B205" s="4" t="str">
        <x:v>J10</x:v>
      </x:c>
      <x:c r="C205" s="4" t="str">
        <x:v>系统设置与个性化</x:v>
      </x:c>
      <x:c r="D205" s="4" t="str">
        <x:v>P1</x:v>
      </x:c>
      <x:c r="E205" s="4" t="str">
        <x:v>定时重启开关与周期</x:v>
      </x:c>
      <x:c r="F205" s="4" t="str">
        <x:v>已备份原设置；可中断操作有窗口；测试时段内可重启</x:v>
      </x:c>
      <x:c r="G205" s="4" t="str">
        <x:v>DUT；测试NTP；合法Logo</x:v>
      </x:c>
      <x:c r="H205" s="4" t="str">
        <x:v>1. 设近期重启计划
2. 保存刷新
3. 等待触发
4. 登录复查
5. 关闭计划</x:v>
      </x:c>
      <x:c r="I205" s="4" t="str">
        <x:v>按所选周期触发一次；启动标识变化；参数和任务按契约恢复；关闭后不继续触发。</x:v>
      </x:c>
      <x:c r="J205" s="4" t="str">
        <x:v>恢复时间画质录像定时重启Logo及所有原参数</x:v>
      </x:c>
      <x:c r="K205" s="4" t="str">
        <x:v>步骤观察、实际结果、证据文件与清理核对</x:v>
      </x:c>
      <x:c r="L205" s="4" t="str">
        <x:v>UI主操作＋API只读核对</x:v>
      </x:c>
      <x:c r="M205" s="4" t="str">
        <x:v>发布全量/高影响</x:v>
      </x:c>
      <x:c r="N205" s="4" t="str">
        <x:v>目标设备具备该能力</x:v>
      </x:c>
      <x:c r="O205" s="4" t="str">
        <x:v>src/web/src/views/box/systemManagement；src/api/ApiRouterRoutes.cc</x:v>
      </x:c>
      <x:c r="P205" s="4" t="str">
        <x:v>未执行</x:v>
      </x:c>
      <x:c r="Q205" s="19" t="str"/>
      <x:c r="R205" s="12" t="str"/>
      <x:c r="S205" s="12" t="str"/>
      <x:c r="T205" s="4" t="n">
        <x:v>1</x:v>
      </x:c>
      <x:c r="U205" s="4" t="str">
        <x:v>DUT；RECOVERY-KIT</x:v>
      </x:c>
      <x:c r="V205" s="4" t="str">
        <x:v>codex-ui-and-evidence</x:v>
      </x:c>
      <x:c r="W205" s="4" t="str"/>
      <x:c r="X205" s="4" t="str"/>
      <x:c r="Y205" s="4" t="str"/>
      <x:c r="Z205" s="4" t="str"/>
      <x:c r="AA205" s="4" t="str"/>
      <x:c r="AB205" s="4" t="str"/>
      <x:c r="AC205" s="4" t="str"/>
    </x:row>
    <x:row r="206" ht="53" customHeight="1">
      <x:c r="A206" s="17" t="str">
        <x:v>SYS-006</x:v>
      </x:c>
      <x:c r="B206" s="17" t="str">
        <x:v>J10</x:v>
      </x:c>
      <x:c r="C206" s="17" t="str">
        <x:v>系统设置与个性化</x:v>
      </x:c>
      <x:c r="D206" s="17" t="str">
        <x:v>P1</x:v>
      </x:c>
      <x:c r="E206" s="17" t="str">
        <x:v>设备日志下载</x:v>
      </x:c>
      <x:c r="F206" s="17" t="str">
        <x:v>已备份原设置；可中断操作有窗口</x:v>
      </x:c>
      <x:c r="G206" s="17" t="str">
        <x:v>DUT；测试NTP；合法Logo</x:v>
      </x:c>
      <x:c r="H206" s="17" t="str">
        <x:v>1. 触发一次受控错误
2. 下载日志
3. 核对时间范围和故障信息</x:v>
      </x:c>
      <x:c r="I206" s="17" t="str">
        <x:v>下载文件可解包；可定位错误；公开附件已脱敏；下载失败可重试。</x:v>
      </x:c>
      <x:c r="J206" s="17" t="str">
        <x:v>恢复时间画质录像定时重启Logo及所有原参数</x:v>
      </x:c>
      <x:c r="K206" s="17" t="str">
        <x:v>步骤观察、实际结果、证据文件与清理核对</x:v>
      </x:c>
      <x:c r="L206" s="17" t="str">
        <x:v>UI主操作＋API只读核对</x:v>
      </x:c>
      <x:c r="M206" s="17" t="str">
        <x:v>受影响模块回归</x:v>
      </x:c>
      <x:c r="N206" s="17" t="str">
        <x:v>目标设备具备该能力</x:v>
      </x:c>
      <x:c r="O206" s="17" t="str">
        <x:v>src/web/src/views/box/systemManagement；src/api/ApiRouterRoutes.cc</x:v>
      </x:c>
      <x:c r="P206" s="17" t="str">
        <x:v>未执行</x:v>
      </x:c>
      <x:c r="Q206" s="19" t="str"/>
      <x:c r="R206" s="17" t="str"/>
      <x:c r="S206" s="17" t="str"/>
      <x:c r="T206" s="17" t="n">
        <x:v>1</x:v>
      </x:c>
      <x:c r="U206" s="17" t="str">
        <x:v>DUT</x:v>
      </x:c>
      <x:c r="V206" s="17" t="str">
        <x:v>codex-ui-and-evidence</x:v>
      </x:c>
      <x:c r="W206" s="17" t="str"/>
      <x:c r="X206" s="17" t="str"/>
      <x:c r="Y206" s="17" t="str"/>
      <x:c r="Z206" s="17" t="str"/>
      <x:c r="AA206" s="17" t="str"/>
      <x:c r="AB206" s="17" t="str"/>
      <x:c r="AC206" s="17" t="str"/>
    </x:row>
    <x:row r="207" ht="68" customHeight="1">
      <x:c r="A207" s="4" t="str">
        <x:v>SYS-007</x:v>
      </x:c>
      <x:c r="B207" s="4" t="str">
        <x:v>J10</x:v>
      </x:c>
      <x:c r="C207" s="4" t="str">
        <x:v>系统设置与个性化</x:v>
      </x:c>
      <x:c r="D207" s="4" t="str">
        <x:v>P2</x:v>
      </x:c>
      <x:c r="E207" s="4" t="str">
        <x:v>系统名称和Logo</x:v>
      </x:c>
      <x:c r="F207" s="4" t="str">
        <x:v>已备份原设置；可中断操作有窗口；合法图片及超边界/伪格式副本</x:v>
      </x:c>
      <x:c r="G207" s="4" t="str">
        <x:v>DUT；测试NTP；合法Logo</x:v>
      </x:c>
      <x:c r="H207" s="4" t="str">
        <x:v>1. 改系统名上传Logo
2. 保存刷新登录页
3. 重置
4. 测空值长名非法图片</x:v>
      </x:c>
      <x:c r="I207" s="4" t="str">
        <x:v>名称Logo正确显示与持久化；非法值有提示；重置恢复约定默认。</x:v>
      </x:c>
      <x:c r="J207" s="4" t="str">
        <x:v>恢复时间画质录像定时重启Logo及所有原参数</x:v>
      </x:c>
      <x:c r="K207" s="4" t="str">
        <x:v>步骤观察、实际结果、证据文件与清理核对</x:v>
      </x:c>
      <x:c r="L207" s="4" t="str">
        <x:v>UI主操作＋API只读核对</x:v>
      </x:c>
      <x:c r="M207" s="4" t="str">
        <x:v>受影响模块回归</x:v>
      </x:c>
      <x:c r="N207" s="4" t="str">
        <x:v>目标设备具备该能力</x:v>
      </x:c>
      <x:c r="O207" s="4" t="str">
        <x:v>src/web/src/views/box/systemManagement；src/api/ApiRouterRoutes.cc</x:v>
      </x:c>
      <x:c r="P207" s="4" t="str">
        <x:v>未执行</x:v>
      </x:c>
      <x:c r="Q207" s="19" t="str"/>
      <x:c r="R207" s="12" t="str"/>
      <x:c r="S207" s="12" t="str"/>
      <x:c r="T207" s="4" t="n">
        <x:v>1</x:v>
      </x:c>
      <x:c r="U207" s="4" t="str">
        <x:v>DUT</x:v>
      </x:c>
      <x:c r="V207" s="4" t="str">
        <x:v>codex-ui-and-evidence</x:v>
      </x:c>
      <x:c r="W207" s="4" t="str"/>
      <x:c r="X207" s="4" t="str"/>
      <x:c r="Y207" s="4" t="str"/>
      <x:c r="Z207" s="4" t="str"/>
      <x:c r="AA207" s="4" t="str"/>
      <x:c r="AB207" s="4" t="str"/>
      <x:c r="AC207" s="4" t="str"/>
    </x:row>
    <x:row r="208" ht="53" customHeight="1">
      <x:c r="A208" s="17" t="str">
        <x:v>SYS-008</x:v>
      </x:c>
      <x:c r="B208" s="17" t="str">
        <x:v>J10</x:v>
      </x:c>
      <x:c r="C208" s="17" t="str">
        <x:v>系统设置与个性化</x:v>
      </x:c>
      <x:c r="D208" s="17" t="str">
        <x:v>P1</x:v>
      </x:c>
      <x:c r="E208" s="17" t="str">
        <x:v>弹窗与调试参数 API</x:v>
      </x:c>
      <x:c r="F208" s="17" t="str">
        <x:v>已备份原设置；可中断操作有窗口；界面未暴露项按API补充，不臆造按钮</x:v>
      </x:c>
      <x:c r="G208" s="17" t="str">
        <x:v>DUT；测试NTP；合法Logo</x:v>
      </x:c>
      <x:c r="H208" s="17" t="str">
        <x:v>1. 查询PopUp/DebugMode/ShiledActions
2. 在隔离任务修改后回读
3. 触发事件</x:v>
      </x:c>
      <x:c r="I208" s="17" t="str">
        <x:v>当前支持字段持久化且影响可解释；无UI不算UI覆盖；调试日志不泄露凭据。</x:v>
      </x:c>
      <x:c r="J208" s="17" t="str">
        <x:v>恢复时间画质录像定时重启Logo及所有原参数</x:v>
      </x:c>
      <x:c r="K208" s="17" t="str">
        <x:v>步骤观察、实际结果、证据文件与清理核对</x:v>
      </x:c>
      <x:c r="L208" s="17" t="str">
        <x:v>UI主操作＋API只读核对</x:v>
      </x:c>
      <x:c r="M208" s="17" t="str">
        <x:v>受影响模块回归</x:v>
      </x:c>
      <x:c r="N208" s="17" t="str">
        <x:v>目标设备具备该能力</x:v>
      </x:c>
      <x:c r="O208" s="17" t="str">
        <x:v>src/web/src/views/box/systemManagement；src/api/ApiRouterRoutes.cc</x:v>
      </x:c>
      <x:c r="P208" s="17" t="str">
        <x:v>未执行</x:v>
      </x:c>
      <x:c r="Q208" s="19" t="str"/>
      <x:c r="R208" s="17" t="str"/>
      <x:c r="S208" s="17" t="str"/>
      <x:c r="T208" s="17" t="n">
        <x:v>1</x:v>
      </x:c>
      <x:c r="U208" s="17" t="str">
        <x:v>DUT</x:v>
      </x:c>
      <x:c r="V208" s="17" t="str">
        <x:v>codex-ui-and-evidence</x:v>
      </x:c>
      <x:c r="W208" s="17" t="str"/>
      <x:c r="X208" s="17" t="str"/>
      <x:c r="Y208" s="17" t="str"/>
      <x:c r="Z208" s="17" t="str"/>
      <x:c r="AA208" s="17" t="str"/>
      <x:c r="AB208" s="17" t="str"/>
      <x:c r="AC208" s="17" t="str"/>
    </x:row>
    <x:row r="209" ht="68" customHeight="1">
      <x:c r="A209" s="4" t="str">
        <x:v>SYS-009</x:v>
      </x:c>
      <x:c r="B209" s="4" t="str">
        <x:v>J10</x:v>
      </x:c>
      <x:c r="C209" s="4" t="str">
        <x:v>系统设置与个性化</x:v>
      </x:c>
      <x:c r="D209" s="4" t="str">
        <x:v>P0</x:v>
      </x:c>
      <x:c r="E209" s="4" t="str">
        <x:v>资源限制参数 API</x:v>
      </x:c>
      <x:c r="F209" s="4" t="str">
        <x:v>已备份原设置；可中断操作有窗口；隔离配额环境</x:v>
      </x:c>
      <x:c r="G209" s="4" t="str">
        <x:v>DUT；测试NTP；合法Logo</x:v>
      </x:c>
      <x:c r="H209" s="4" t="str">
        <x:v>1. 查询ResourceLimitParam
2. 设置可恢复限制
3. 触发资源接纳
4. 恢复</x:v>
      </x:c>
      <x:c r="I209" s="4" t="str">
        <x:v>限制真正作用于请求接纳；提示与能力接口一致；不影响运行数据完整性。</x:v>
      </x:c>
      <x:c r="J209" s="4" t="str">
        <x:v>恢复时间画质录像定时重启Logo及所有原参数</x:v>
      </x:c>
      <x:c r="K209" s="4" t="str">
        <x:v>步骤观察、实际结果、证据文件与清理核对</x:v>
      </x:c>
      <x:c r="L209" s="4" t="str">
        <x:v>UI主操作＋API只读核对</x:v>
      </x:c>
      <x:c r="M209" s="4" t="str">
        <x:v>受影响模块回归</x:v>
      </x:c>
      <x:c r="N209" s="4" t="str">
        <x:v>目标设备具备该能力</x:v>
      </x:c>
      <x:c r="O209" s="4" t="str">
        <x:v>src/web/src/views/box/systemManagement；src/api/ApiRouterRoutes.cc</x:v>
      </x:c>
      <x:c r="P209" s="4" t="str">
        <x:v>未执行</x:v>
      </x:c>
      <x:c r="Q209" s="19" t="str"/>
      <x:c r="R209" s="12" t="str"/>
      <x:c r="S209" s="12" t="str"/>
      <x:c r="T209" s="4" t="n">
        <x:v>1</x:v>
      </x:c>
      <x:c r="U209" s="4" t="str">
        <x:v>DUT</x:v>
      </x:c>
      <x:c r="V209" s="4" t="str">
        <x:v>codex-ui-and-evidence</x:v>
      </x:c>
      <x:c r="W209" s="4" t="str"/>
      <x:c r="X209" s="4" t="str"/>
      <x:c r="Y209" s="4" t="str"/>
      <x:c r="Z209" s="4" t="str"/>
      <x:c r="AA209" s="4" t="str"/>
      <x:c r="AB209" s="4" t="str"/>
      <x:c r="AC209" s="4" t="str"/>
    </x:row>
    <x:row r="210" ht="38" customHeight="1">
      <x:c r="A210" s="17" t="str">
        <x:v>SYS-010</x:v>
      </x:c>
      <x:c r="B210" s="17" t="str">
        <x:v>J10</x:v>
      </x:c>
      <x:c r="C210" s="17" t="str">
        <x:v>系统设置与个性化</x:v>
      </x:c>
      <x:c r="D210" s="17" t="str">
        <x:v>P1</x:v>
      </x:c>
      <x:c r="E210" s="17" t="str">
        <x:v>诊断接口与生产边界</x:v>
      </x:c>
      <x:c r="F210" s="17" t="str">
        <x:v>已备份原设置；可中断操作有窗口；专用隔离实例</x:v>
      </x:c>
      <x:c r="G210" s="17" t="str">
        <x:v>DUT；测试NTP；合法Logo</x:v>
      </x:c>
      <x:c r="H210" s="17" t="str">
        <x:v>1. 调用ThreadDebugInfo/QueryLogs等只读诊断
2. 在获准实例测试DebugQuit等高影响项</x:v>
      </x:c>
      <x:c r="I210" s="17" t="str">
        <x:v>鉴权正确；只读不改状态；退出行为有恢复方案；缺窗口列阻塞不在真实设备盲试。</x:v>
      </x:c>
      <x:c r="J210" s="17" t="str">
        <x:v>恢复时间画质录像定时重启Logo及所有原参数</x:v>
      </x:c>
      <x:c r="K210" s="17" t="str">
        <x:v>步骤观察、实际结果、证据文件与清理核对</x:v>
      </x:c>
      <x:c r="L210" s="17" t="str">
        <x:v>UI主操作＋API只读核对</x:v>
      </x:c>
      <x:c r="M210" s="17" t="str">
        <x:v>发布全量/高影响</x:v>
      </x:c>
      <x:c r="N210" s="17" t="str">
        <x:v>目标设备具备该能力</x:v>
      </x:c>
      <x:c r="O210" s="17" t="str">
        <x:v>src/web/src/views/box/systemManagement；src/api/ApiRouterRoutes.cc</x:v>
      </x:c>
      <x:c r="P210" s="17" t="str">
        <x:v>未执行</x:v>
      </x:c>
      <x:c r="Q210" s="19" t="str"/>
      <x:c r="R210" s="17" t="str"/>
      <x:c r="S210" s="17" t="str"/>
      <x:c r="T210" s="17" t="n">
        <x:v>1</x:v>
      </x:c>
      <x:c r="U210" s="17" t="str">
        <x:v>DUT</x:v>
      </x:c>
      <x:c r="V210" s="17" t="str">
        <x:v>codex-ui-and-evidence</x:v>
      </x:c>
      <x:c r="W210" s="17" t="str"/>
      <x:c r="X210" s="17" t="str"/>
      <x:c r="Y210" s="17" t="str"/>
      <x:c r="Z210" s="17" t="str"/>
      <x:c r="AA210" s="17" t="str"/>
      <x:c r="AB210" s="17" t="str"/>
      <x:c r="AC210" s="17" t="str"/>
    </x:row>
    <x:row r="211" ht="53" customHeight="1">
      <x:c r="A211" s="4" t="str">
        <x:v>NET-001</x:v>
      </x:c>
      <x:c r="B211" s="4" t="str">
        <x:v>J10</x:v>
      </x:c>
      <x:c r="C211" s="4" t="str">
        <x:v>网络设置</x:v>
      </x:c>
      <x:c r="D211" s="4" t="str">
        <x:v>P1</x:v>
      </x:c>
      <x:c r="E211" s="4" t="str">
        <x:v>网卡列表与查询</x:v>
      </x:c>
      <x:c r="F211" s="4" t="str">
        <x:v>网络改写需独立管理口或现场恢复人员</x:v>
      </x:c>
      <x:c r="G211" s="4" t="str">
        <x:v>DUT；备用管理入口；测试DNS/网关</x:v>
      </x:c>
      <x:c r="H211" s="4" t="str">
        <x:v>1. 打开网口设置
2. 读取每网卡MAC/IP/掩码/DHCP
3. 与设备基线核对</x:v>
      </x:c>
      <x:c r="I211" s="4" t="str">
        <x:v>实际网卡完整；只读值不可误编辑；不同网口不互相覆盖。</x:v>
      </x:c>
      <x:c r="J211" s="4" t="str">
        <x:v>按备份恢复IP掩码网关DNS；验证从原入口重新登录</x:v>
      </x:c>
      <x:c r="K211" s="4" t="str">
        <x:v>步骤观察、实际结果、证据文件与清理核对</x:v>
      </x:c>
      <x:c r="L211" s="4" t="str">
        <x:v>UI主操作＋API只读核对</x:v>
      </x:c>
      <x:c r="M211" s="4" t="str">
        <x:v>受影响模块回归</x:v>
      </x:c>
      <x:c r="N211" s="4" t="str">
        <x:v>目标设备具备该能力</x:v>
      </x:c>
      <x:c r="O211" s="4" t="str">
        <x:v>src/web/src/views/box/systemManagement/netConfig；src/web/scripts/network_validation_check.mjs</x:v>
      </x:c>
      <x:c r="P211" s="4" t="str">
        <x:v>未执行</x:v>
      </x:c>
      <x:c r="Q211" s="19" t="str"/>
      <x:c r="R211" s="12" t="str"/>
      <x:c r="S211" s="12" t="str"/>
      <x:c r="T211" s="4" t="n">
        <x:v>1</x:v>
      </x:c>
      <x:c r="U211" s="4" t="str">
        <x:v>DUT</x:v>
      </x:c>
      <x:c r="V211" s="4" t="str">
        <x:v>codex-ui-and-evidence</x:v>
      </x:c>
      <x:c r="W211" s="4" t="str"/>
      <x:c r="X211" s="4" t="str"/>
      <x:c r="Y211" s="4" t="str"/>
      <x:c r="Z211" s="4" t="str"/>
      <x:c r="AA211" s="4" t="str"/>
      <x:c r="AB211" s="4" t="str"/>
      <x:c r="AC211" s="4" t="str"/>
    </x:row>
    <x:row r="212" ht="68" customHeight="1">
      <x:c r="A212" s="17" t="str">
        <x:v>NET-002</x:v>
      </x:c>
      <x:c r="B212" s="17" t="str">
        <x:v>J10</x:v>
      </x:c>
      <x:c r="C212" s="17" t="str">
        <x:v>网络设置</x:v>
      </x:c>
      <x:c r="D212" s="17" t="str">
        <x:v>P0</x:v>
      </x:c>
      <x:c r="E212" s="17" t="str">
        <x:v>静态IP修改与重新访问</x:v>
      </x:c>
      <x:c r="F212" s="17" t="str">
        <x:v>网络改写需独立管理口或现场恢复人员；备用管理路径已演练</x:v>
      </x:c>
      <x:c r="G212" s="17" t="str">
        <x:v>DUT；备用管理入口；测试DNS/网关</x:v>
      </x:c>
      <x:c r="H212" s="17" t="str">
        <x:v>1. 选择测试网口编辑有效IP掩码网关
2. 保存
3. 用新入口登录
4. 恢复原设置</x:v>
      </x:c>
      <x:c r="I212" s="17" t="str">
        <x:v>新地址可达且持久化；断连提示明确；恢复成功；不得在唯一入口无恢复条件时执行。</x:v>
      </x:c>
      <x:c r="J212" s="17" t="str">
        <x:v>按备份恢复IP掩码网关DNS；验证从原入口重新登录</x:v>
      </x:c>
      <x:c r="K212" s="17" t="str">
        <x:v>步骤观察、实际结果、证据文件与清理核对</x:v>
      </x:c>
      <x:c r="L212" s="17" t="str">
        <x:v>UI主操作＋API只读核对</x:v>
      </x:c>
      <x:c r="M212" s="17" t="str">
        <x:v>发布全量/高影响</x:v>
      </x:c>
      <x:c r="N212" s="17" t="str">
        <x:v>目标设备具备该能力</x:v>
      </x:c>
      <x:c r="O212" s="17" t="str">
        <x:v>src/web/src/views/box/systemManagement/netConfig；src/web/scripts/network_validation_check.mjs</x:v>
      </x:c>
      <x:c r="P212" s="17" t="str">
        <x:v>未执行</x:v>
      </x:c>
      <x:c r="Q212" s="19" t="str"/>
      <x:c r="R212" s="17" t="str"/>
      <x:c r="S212" s="17" t="str"/>
      <x:c r="T212" s="17" t="n">
        <x:v>1</x:v>
      </x:c>
      <x:c r="U212" s="17" t="str">
        <x:v>DUT；RECOVERY-KIT</x:v>
      </x:c>
      <x:c r="V212" s="17" t="str">
        <x:v>codex-ui-and-evidence</x:v>
      </x:c>
      <x:c r="W212" s="17" t="str"/>
      <x:c r="X212" s="17" t="str"/>
      <x:c r="Y212" s="17" t="str"/>
      <x:c r="Z212" s="17" t="str"/>
      <x:c r="AA212" s="17" t="str"/>
      <x:c r="AB212" s="17" t="str"/>
      <x:c r="AC212" s="17" t="str"/>
    </x:row>
    <x:row r="213" ht="68" customHeight="1">
      <x:c r="A213" s="4" t="str">
        <x:v>NET-003</x:v>
      </x:c>
      <x:c r="B213" s="4" t="str">
        <x:v>J10</x:v>
      </x:c>
      <x:c r="C213" s="4" t="str">
        <x:v>网络设置</x:v>
      </x:c>
      <x:c r="D213" s="4" t="str">
        <x:v>P1</x:v>
      </x:c>
      <x:c r="E213" s="4" t="str">
        <x:v>DHCP与无效网络参数</x:v>
      </x:c>
      <x:c r="F213" s="4" t="str">
        <x:v>网络改写需独立管理口或现场恢复人员；隔离DHCP服务和网口</x:v>
      </x:c>
      <x:c r="G213" s="4" t="str">
        <x:v>DUT；备用管理入口；测试DNS/网关</x:v>
      </x:c>
      <x:c r="H213" s="4" t="str">
        <x:v>1. 切DHCP获取地址
2. 切回静态
3. 输入非法IP/掩码/网关
4. 提交</x:v>
      </x:c>
      <x:c r="I213" s="4" t="str">
        <x:v>DHCP状态真实；无效组合不保存；原可用配置不被失败请求损坏。</x:v>
      </x:c>
      <x:c r="J213" s="4" t="str">
        <x:v>按备份恢复IP掩码网关DNS；验证从原入口重新登录</x:v>
      </x:c>
      <x:c r="K213" s="4" t="str">
        <x:v>步骤观察、实际结果、证据文件与清理核对</x:v>
      </x:c>
      <x:c r="L213" s="4" t="str">
        <x:v>UI主操作＋API只读核对</x:v>
      </x:c>
      <x:c r="M213" s="4" t="str">
        <x:v>发布全量/高影响</x:v>
      </x:c>
      <x:c r="N213" s="4" t="str">
        <x:v>目标设备具备该能力</x:v>
      </x:c>
      <x:c r="O213" s="4" t="str">
        <x:v>src/web/src/views/box/systemManagement/netConfig；src/web/scripts/network_validation_check.mjs</x:v>
      </x:c>
      <x:c r="P213" s="4" t="str">
        <x:v>未执行</x:v>
      </x:c>
      <x:c r="Q213" s="19" t="str"/>
      <x:c r="R213" s="12" t="str"/>
      <x:c r="S213" s="12" t="str"/>
      <x:c r="T213" s="4" t="n">
        <x:v>1</x:v>
      </x:c>
      <x:c r="U213" s="4" t="str">
        <x:v>DUT；RECOVERY-KIT</x:v>
      </x:c>
      <x:c r="V213" s="4" t="str">
        <x:v>codex-ui-and-evidence</x:v>
      </x:c>
      <x:c r="W213" s="4" t="str"/>
      <x:c r="X213" s="4" t="str"/>
      <x:c r="Y213" s="4" t="str"/>
      <x:c r="Z213" s="4" t="str"/>
      <x:c r="AA213" s="4" t="str"/>
      <x:c r="AB213" s="4" t="str"/>
      <x:c r="AC213" s="4" t="str"/>
    </x:row>
    <x:row r="214" ht="53" customHeight="1">
      <x:c r="A214" s="17" t="str">
        <x:v>NET-004</x:v>
      </x:c>
      <x:c r="B214" s="17" t="str">
        <x:v>J10</x:v>
      </x:c>
      <x:c r="C214" s="17" t="str">
        <x:v>网络设置</x:v>
      </x:c>
      <x:c r="D214" s="17" t="str">
        <x:v>P1</x:v>
      </x:c>
      <x:c r="E214" s="17" t="str">
        <x:v>IP冲突检测</x:v>
      </x:c>
      <x:c r="F214" s="17" t="str">
        <x:v>网络改写需独立管理口或现场恢复人员；预先准备占用与未占用测试地址</x:v>
      </x:c>
      <x:c r="G214" s="17" t="str">
        <x:v>DUT；备用管理入口；测试DNS/网关</x:v>
      </x:c>
      <x:c r="H214" s="17" t="str">
        <x:v>1. 检测已占用地址
2. 测空闲地址
3. 模拟检测不可达</x:v>
      </x:c>
      <x:c r="I214" s="17" t="str">
        <x:v>检测结果有依据；网络检测失败不能直接显示无冲突。</x:v>
      </x:c>
      <x:c r="J214" s="17" t="str">
        <x:v>按备份恢复IP掩码网关DNS；验证从原入口重新登录</x:v>
      </x:c>
      <x:c r="K214" s="17" t="str">
        <x:v>步骤观察、实际结果、证据文件与清理核对</x:v>
      </x:c>
      <x:c r="L214" s="17" t="str">
        <x:v>UI主操作＋API只读核对</x:v>
      </x:c>
      <x:c r="M214" s="17" t="str">
        <x:v>受影响模块回归</x:v>
      </x:c>
      <x:c r="N214" s="17" t="str">
        <x:v>目标设备具备该能力</x:v>
      </x:c>
      <x:c r="O214" s="17" t="str">
        <x:v>src/web/src/views/box/systemManagement/netConfig；src/web/scripts/network_validation_check.mjs</x:v>
      </x:c>
      <x:c r="P214" s="17" t="str">
        <x:v>未执行</x:v>
      </x:c>
      <x:c r="Q214" s="19" t="str"/>
      <x:c r="R214" s="17" t="str"/>
      <x:c r="S214" s="17" t="str"/>
      <x:c r="T214" s="17" t="n">
        <x:v>1</x:v>
      </x:c>
      <x:c r="U214" s="17" t="str">
        <x:v>DUT；RECOVERY-KIT</x:v>
      </x:c>
      <x:c r="V214" s="17" t="str">
        <x:v>codex-ui-and-evidence</x:v>
      </x:c>
      <x:c r="W214" s="17" t="str"/>
      <x:c r="X214" s="17" t="str"/>
      <x:c r="Y214" s="17" t="str"/>
      <x:c r="Z214" s="17" t="str"/>
      <x:c r="AA214" s="17" t="str"/>
      <x:c r="AB214" s="17" t="str"/>
      <x:c r="AC214" s="17" t="str"/>
    </x:row>
    <x:row r="215" ht="68" customHeight="1">
      <x:c r="A215" s="4" t="str">
        <x:v>NET-005</x:v>
      </x:c>
      <x:c r="B215" s="4" t="str">
        <x:v>J10</x:v>
      </x:c>
      <x:c r="C215" s="4" t="str">
        <x:v>网络设置</x:v>
      </x:c>
      <x:c r="D215" s="4" t="str">
        <x:v>P1</x:v>
      </x:c>
      <x:c r="E215" s="4" t="str">
        <x:v>DNS 修改重置与解析</x:v>
      </x:c>
      <x:c r="F215" s="4" t="str">
        <x:v>网络改写需独立管理口或现场恢复人员</x:v>
      </x:c>
      <x:c r="G215" s="4" t="str">
        <x:v>DUT；备用管理入口；测试DNS/网关</x:v>
      </x:c>
      <x:c r="H215" s="4" t="str">
        <x:v>1. 配置主备DNS
2. 保存
3. 测域名型推送/地址
4. 重置并复查</x:v>
      </x:c>
      <x:c r="I215" s="4" t="str">
        <x:v>不仅IP能通，域名解析可用；非法DNS拒绝；重置回到约定值。</x:v>
      </x:c>
      <x:c r="J215" s="4" t="str">
        <x:v>按备份恢复IP掩码网关DNS；验证从原入口重新登录</x:v>
      </x:c>
      <x:c r="K215" s="4" t="str">
        <x:v>步骤观察、实际结果、证据文件与清理核对</x:v>
      </x:c>
      <x:c r="L215" s="4" t="str">
        <x:v>UI主操作＋API只读核对</x:v>
      </x:c>
      <x:c r="M215" s="4" t="str">
        <x:v>发布全量/高影响</x:v>
      </x:c>
      <x:c r="N215" s="4" t="str">
        <x:v>目标设备具备该能力</x:v>
      </x:c>
      <x:c r="O215" s="4" t="str">
        <x:v>src/web/src/views/box/systemManagement/netConfig；src/web/scripts/network_validation_check.mjs</x:v>
      </x:c>
      <x:c r="P215" s="4" t="str">
        <x:v>未执行</x:v>
      </x:c>
      <x:c r="Q215" s="19" t="str"/>
      <x:c r="R215" s="12" t="str"/>
      <x:c r="S215" s="12" t="str"/>
      <x:c r="T215" s="4" t="n">
        <x:v>1</x:v>
      </x:c>
      <x:c r="U215" s="4" t="str">
        <x:v>DUT；RECOVERY-KIT</x:v>
      </x:c>
      <x:c r="V215" s="4" t="str">
        <x:v>codex-ui-and-evidence</x:v>
      </x:c>
      <x:c r="W215" s="4" t="str"/>
      <x:c r="X215" s="4" t="str"/>
      <x:c r="Y215" s="4" t="str"/>
      <x:c r="Z215" s="4" t="str"/>
      <x:c r="AA215" s="4" t="str"/>
      <x:c r="AB215" s="4" t="str"/>
      <x:c r="AC215" s="4" t="str"/>
    </x:row>
    <x:row r="216" ht="68" customHeight="1">
      <x:c r="A216" s="17" t="str">
        <x:v>NET-006</x:v>
      </x:c>
      <x:c r="B216" s="17" t="str">
        <x:v>J10</x:v>
      </x:c>
      <x:c r="C216" s="17" t="str">
        <x:v>网络设置</x:v>
      </x:c>
      <x:c r="D216" s="17" t="str">
        <x:v>P1</x:v>
      </x:c>
      <x:c r="E216" s="17" t="str">
        <x:v>网络质量和可达性</x:v>
      </x:c>
      <x:c r="F216" s="17" t="str">
        <x:v>网络改写需独立管理口或现场恢复人员；可达不可达目标及合法包大小</x:v>
      </x:c>
      <x:c r="G216" s="17" t="str">
        <x:v>DUT；备用管理入口；测试DNS/网关</x:v>
      </x:c>
      <x:c r="H216" s="17" t="str">
        <x:v>1. 发起网络检测
2. 查看丢包时延
3. 对不可达和非法输入重测
4. 取消</x:v>
      </x:c>
      <x:c r="I216" s="17" t="str">
        <x:v>结果区分成功失败和超时；不把探测成功等同媒体服务可用；请求有界可恢复。</x:v>
      </x:c>
      <x:c r="J216" s="17" t="str">
        <x:v>按备份恢复IP掩码网关DNS；验证从原入口重新登录</x:v>
      </x:c>
      <x:c r="K216" s="17" t="str">
        <x:v>步骤观察、实际结果、证据文件与清理核对</x:v>
      </x:c>
      <x:c r="L216" s="17" t="str">
        <x:v>UI主操作＋API只读核对</x:v>
      </x:c>
      <x:c r="M216" s="17" t="str">
        <x:v>受影响模块回归</x:v>
      </x:c>
      <x:c r="N216" s="17" t="str">
        <x:v>目标设备具备该能力</x:v>
      </x:c>
      <x:c r="O216" s="17" t="str">
        <x:v>src/web/src/views/box/systemManagement/netConfig；src/web/scripts/network_validation_check.mjs</x:v>
      </x:c>
      <x:c r="P216" s="17" t="str">
        <x:v>未执行</x:v>
      </x:c>
      <x:c r="Q216" s="19" t="str"/>
      <x:c r="R216" s="17" t="str"/>
      <x:c r="S216" s="17" t="str"/>
      <x:c r="T216" s="17" t="n">
        <x:v>1</x:v>
      </x:c>
      <x:c r="U216" s="17" t="str">
        <x:v>DUT</x:v>
      </x:c>
      <x:c r="V216" s="17" t="str">
        <x:v>codex-ui-and-evidence</x:v>
      </x:c>
      <x:c r="W216" s="17" t="str"/>
      <x:c r="X216" s="17" t="str"/>
      <x:c r="Y216" s="17" t="str"/>
      <x:c r="Z216" s="17" t="str"/>
      <x:c r="AA216" s="17" t="str"/>
      <x:c r="AB216" s="17" t="str"/>
      <x:c r="AC216" s="17" t="str"/>
    </x:row>
    <x:row r="217" ht="83" customHeight="1">
      <x:c r="A217" s="4" t="str">
        <x:v>UPG-001</x:v>
      </x:c>
      <x:c r="B217" s="4" t="str">
        <x:v>J11</x:v>
      </x:c>
      <x:c r="C217" s="4" t="str">
        <x:v>升级重启与恢复</x:v>
      </x:c>
      <x:c r="D217" s="4" t="str">
        <x:v>P0</x:v>
      </x:c>
      <x:c r="E217" s="4" t="str">
        <x:v>正常升级全业务保留</x:v>
      </x:c>
      <x:c r="F217" s="4" t="str">
        <x:v>仅隔离测试设备；备份已演练；恢复入口和窗口已确认；候选包和上一发布版都可用</x:v>
      </x:c>
      <x:c r="G217" s="4" t="str">
        <x:v>与实测芯片匹配的当前版/候选版包；回滚包待补</x:v>
      </x:c>
      <x:c r="H217" s="4" t="str">
        <x:v>1. 记录原bootId版本及通道任务库计划推送密钥
2. UI选合法包上传
3. 升级
4. 等待离线和恢复
5. 重登并跑关键旅程</x:v>
      </x:c>
      <x:c r="I217" s="4" t="str">
        <x:v>新bootId与目标运行版本共同符合预期；配置、库特征、事件及密钥按保留契约核对；核心业务重新通过。</x:v>
      </x:c>
      <x:c r="J217" s="4" t="str">
        <x:v>按经过验证的恢复方案回滚；恢复任务配置；保留升级前后证据</x:v>
      </x:c>
      <x:c r="K217" s="4" t="str">
        <x:v>步骤观察、实际结果、证据文件与清理核对</x:v>
      </x:c>
      <x:c r="L217" s="4" t="str">
        <x:v>UI主操作＋API只读核对</x:v>
      </x:c>
      <x:c r="M217" s="4" t="str">
        <x:v>发布全量/高影响</x:v>
      </x:c>
      <x:c r="N217" s="4" t="str">
        <x:v>目标设备具备该能力</x:v>
      </x:c>
      <x:c r="O217" s="4" t="str">
        <x:v>src/web/src/views/box/systemManagement/systemMaintain；docs/reference/api.md；docs/guide/test-cases.md</x:v>
      </x:c>
      <x:c r="P217" s="4" t="str">
        <x:v>未执行</x:v>
      </x:c>
      <x:c r="Q217" s="19" t="str"/>
      <x:c r="R217" s="12" t="str"/>
      <x:c r="S217" s="12" t="str"/>
      <x:c r="T217" s="4" t="n">
        <x:v>1</x:v>
      </x:c>
      <x:c r="U217" s="4" t="str">
        <x:v>DUT；UPGRADE-PACKAGE；ROLLBACK-PACKAGE；RECOVERY-KIT</x:v>
      </x:c>
      <x:c r="V217" s="4" t="str">
        <x:v>codex-ui-and-evidence</x:v>
      </x:c>
      <x:c r="W217" s="4" t="str"/>
      <x:c r="X217" s="4" t="str"/>
      <x:c r="Y217" s="4" t="str"/>
      <x:c r="Z217" s="4" t="str"/>
      <x:c r="AA217" s="4" t="str"/>
      <x:c r="AB217" s="4" t="str"/>
      <x:c r="AC217" s="4" t="str"/>
    </x:row>
    <x:row r="218" ht="68" customHeight="1">
      <x:c r="A218" s="17" t="str">
        <x:v>UPG-002</x:v>
      </x:c>
      <x:c r="B218" s="17" t="str">
        <x:v>J11</x:v>
      </x:c>
      <x:c r="C218" s="17" t="str">
        <x:v>升级重启与恢复</x:v>
      </x:c>
      <x:c r="D218" s="17" t="str">
        <x:v>P0</x:v>
      </x:c>
      <x:c r="E218" s="17" t="str">
        <x:v>升级包名称和MD5</x:v>
      </x:c>
      <x:c r="F218" s="17" t="str">
        <x:v>仅隔离测试设备；备份已演练；恢复入口和窗口已确认；合法包副本及错误名称/摘要副本</x:v>
      </x:c>
      <x:c r="G218" s="17" t="str">
        <x:v>与实测芯片匹配的当前版/候选版包；回滚包待补</x:v>
      </x:c>
      <x:c r="H218" s="17" t="str">
        <x:v>1. 选择规范包名
2. 改错版本格式或32位MD5
3. 提交
4. 复查当前版本</x:v>
      </x:c>
      <x:c r="I218" s="17" t="str">
        <x:v>cosmo-V&lt;major&gt;.&lt;minor&gt;.&lt;patch&gt;-&lt;md5&gt;.tar.gz规则生效；错包在切换前拒绝；当前应用仍可用。</x:v>
      </x:c>
      <x:c r="J218" s="17" t="str">
        <x:v>按经过验证的恢复方案回滚；恢复任务配置；保留升级前后证据</x:v>
      </x:c>
      <x:c r="K218" s="17" t="str">
        <x:v>步骤观察、实际结果、证据文件与清理核对</x:v>
      </x:c>
      <x:c r="L218" s="17" t="str">
        <x:v>UI主操作＋API只读核对</x:v>
      </x:c>
      <x:c r="M218" s="17" t="str">
        <x:v>受影响模块回归</x:v>
      </x:c>
      <x:c r="N218" s="17" t="str">
        <x:v>目标设备具备该能力</x:v>
      </x:c>
      <x:c r="O218" s="17" t="str">
        <x:v>src/web/src/views/box/systemManagement/systemMaintain；docs/reference/api.md；docs/guide/test-cases.md</x:v>
      </x:c>
      <x:c r="P218" s="17" t="str">
        <x:v>未执行</x:v>
      </x:c>
      <x:c r="Q218" s="19" t="str"/>
      <x:c r="R218" s="17" t="str"/>
      <x:c r="S218" s="17" t="str"/>
      <x:c r="T218" s="17" t="n">
        <x:v>1</x:v>
      </x:c>
      <x:c r="U218" s="17" t="str">
        <x:v>DUT；UPGRADE-PACKAGE；ROLLBACK-PACKAGE；RECOVERY-KIT</x:v>
      </x:c>
      <x:c r="V218" s="17" t="str">
        <x:v>codex-ui-and-evidence</x:v>
      </x:c>
      <x:c r="W218" s="17" t="str"/>
      <x:c r="X218" s="17" t="str"/>
      <x:c r="Y218" s="17" t="str"/>
      <x:c r="Z218" s="17" t="str"/>
      <x:c r="AA218" s="17" t="str"/>
      <x:c r="AB218" s="17" t="str"/>
      <x:c r="AC218" s="17" t="str"/>
    </x:row>
    <x:row r="219" ht="53" customHeight="1">
      <x:c r="A219" s="4" t="str">
        <x:v>UPG-003</x:v>
      </x:c>
      <x:c r="B219" s="4" t="str">
        <x:v>J11</x:v>
      </x:c>
      <x:c r="C219" s="4" t="str">
        <x:v>升级重启与恢复</x:v>
      </x:c>
      <x:c r="D219" s="4" t="str">
        <x:v>P0</x:v>
      </x:c>
      <x:c r="E219" s="4" t="str">
        <x:v>错误目标和不完整包</x:v>
      </x:c>
      <x:c r="F219" s="4" t="str">
        <x:v>仅隔离测试设备；备份已演练；恢复入口和窗口已确认；另一目标芯片/缺文件/损坏归档</x:v>
      </x:c>
      <x:c r="G219" s="4" t="str">
        <x:v>与实测芯片匹配的当前版/候选版包；回滚包待补</x:v>
      </x:c>
      <x:c r="H219" s="4" t="str">
        <x:v>1. 逐包提交
2. 检查预检提示
3. 登录当前应用</x:v>
      </x:c>
      <x:c r="I219" s="4" t="str">
        <x:v>目标和结构不匹配明确失败；不以文件名推断兼容；旧业务保持可恢复。</x:v>
      </x:c>
      <x:c r="J219" s="4" t="str">
        <x:v>按经过验证的恢复方案回滚；恢复任务配置；保留升级前后证据</x:v>
      </x:c>
      <x:c r="K219" s="4" t="str">
        <x:v>步骤观察、实际结果、证据文件与清理核对</x:v>
      </x:c>
      <x:c r="L219" s="4" t="str">
        <x:v>UI主操作＋API只读核对</x:v>
      </x:c>
      <x:c r="M219" s="4" t="str">
        <x:v>受影响模块回归</x:v>
      </x:c>
      <x:c r="N219" s="4" t="str">
        <x:v>目标设备具备该能力</x:v>
      </x:c>
      <x:c r="O219" s="4" t="str">
        <x:v>src/web/src/views/box/systemManagement/systemMaintain；docs/reference/api.md；docs/guide/test-cases.md</x:v>
      </x:c>
      <x:c r="P219" s="4" t="str">
        <x:v>未执行</x:v>
      </x:c>
      <x:c r="Q219" s="19" t="str"/>
      <x:c r="R219" s="12" t="str"/>
      <x:c r="S219" s="12" t="str"/>
      <x:c r="T219" s="4" t="n">
        <x:v>1</x:v>
      </x:c>
      <x:c r="U219" s="4" t="str">
        <x:v>DUT；UPGRADE-PACKAGE；ROLLBACK-PACKAGE；RECOVERY-KIT</x:v>
      </x:c>
      <x:c r="V219" s="4" t="str">
        <x:v>codex-ui-and-evidence</x:v>
      </x:c>
      <x:c r="W219" s="4" t="str"/>
      <x:c r="X219" s="4" t="str"/>
      <x:c r="Y219" s="4" t="str"/>
      <x:c r="Z219" s="4" t="str"/>
      <x:c r="AA219" s="4" t="str"/>
      <x:c r="AB219" s="4" t="str"/>
      <x:c r="AC219" s="4" t="str"/>
    </x:row>
    <x:row r="220" ht="83" customHeight="1">
      <x:c r="A220" s="17" t="str">
        <x:v>UPG-004</x:v>
      </x:c>
      <x:c r="B220" s="17" t="str">
        <x:v>J11</x:v>
      </x:c>
      <x:c r="C220" s="17" t="str">
        <x:v>升级重启与恢复</x:v>
      </x:c>
      <x:c r="D220" s="17" t="str">
        <x:v>P0</x:v>
      </x:c>
      <x:c r="E220" s="17" t="str">
        <x:v>升级空间预检与清理确认</x:v>
      </x:c>
      <x:c r="F220" s="17" t="str">
        <x:v>仅隔离测试设备；备份已演练；恢复入口和窗口已确认；磁盘配额沙箱和本轮可清理事件媒体</x:v>
      </x:c>
      <x:c r="G220" s="17" t="str">
        <x:v>与实测芯片匹配的当前版/候选版包；回滚包待补</x:v>
      </x:c>
      <x:c r="H220" s="17" t="str">
        <x:v>1. 查可用空间
2. 模拟不足
3. 取消清理
4. 显式确认只在隔离设备清理
5. 再检</x:v>
      </x:c>
      <x:c r="I220" s="17" t="str">
        <x:v>空间算法和错误信息一致；未经确认不清理；清理范围与提示一致且报告媒体损失。</x:v>
      </x:c>
      <x:c r="J220" s="17" t="str">
        <x:v>按经过验证的恢复方案回滚；恢复任务配置；保留升级前后证据</x:v>
      </x:c>
      <x:c r="K220" s="17" t="str">
        <x:v>步骤观察、实际结果、证据文件与清理核对</x:v>
      </x:c>
      <x:c r="L220" s="17" t="str">
        <x:v>UI主操作＋API只读核对</x:v>
      </x:c>
      <x:c r="M220" s="17" t="str">
        <x:v>发布全量/高影响</x:v>
      </x:c>
      <x:c r="N220" s="17" t="str">
        <x:v>目标设备具备该能力</x:v>
      </x:c>
      <x:c r="O220" s="17" t="str">
        <x:v>src/web/src/views/box/systemManagement/systemMaintain；docs/reference/api.md；docs/guide/test-cases.md</x:v>
      </x:c>
      <x:c r="P220" s="17" t="str">
        <x:v>未执行</x:v>
      </x:c>
      <x:c r="Q220" s="19" t="str"/>
      <x:c r="R220" s="17" t="str"/>
      <x:c r="S220" s="17" t="str"/>
      <x:c r="T220" s="17" t="n">
        <x:v>1</x:v>
      </x:c>
      <x:c r="U220" s="17" t="str">
        <x:v>DUT；UPGRADE-PACKAGE；ROLLBACK-PACKAGE；RECOVERY-KIT</x:v>
      </x:c>
      <x:c r="V220" s="17" t="str">
        <x:v>codex-ui-and-evidence</x:v>
      </x:c>
      <x:c r="W220" s="17" t="str"/>
      <x:c r="X220" s="17" t="str"/>
      <x:c r="Y220" s="17" t="str"/>
      <x:c r="Z220" s="17" t="str"/>
      <x:c r="AA220" s="17" t="str"/>
      <x:c r="AB220" s="17" t="str"/>
      <x:c r="AC220" s="17" t="str"/>
    </x:row>
    <x:row r="221" ht="68" customHeight="1">
      <x:c r="A221" s="4" t="str">
        <x:v>UPG-005</x:v>
      </x:c>
      <x:c r="B221" s="4" t="str">
        <x:v>J11</x:v>
      </x:c>
      <x:c r="C221" s="4" t="str">
        <x:v>升级重启与恢复</x:v>
      </x:c>
      <x:c r="D221" s="4" t="str">
        <x:v>P0</x:v>
      </x:c>
      <x:c r="E221" s="4" t="str">
        <x:v>上传中断取消和续传</x:v>
      </x:c>
      <x:c r="F221" s="4" t="str">
        <x:v>仅隔离测试设备；备份已演练；恢复入口和窗口已确认</x:v>
      </x:c>
      <x:c r="G221" s="4" t="str">
        <x:v>与实测芯片匹配的当前版/候选版包；回滚包待补</x:v>
      </x:c>
      <x:c r="H221" s="4" t="str">
        <x:v>1. 升级包传输中断网
2. 恢复续传
3. 取消另一次传输
4. 查暂存</x:v>
      </x:c>
      <x:c r="I221" s="4" t="str">
        <x:v>会话和哈希正确；未提交升级不重启；取消释放资源；恢复不拼接错误文件。</x:v>
      </x:c>
      <x:c r="J221" s="4" t="str">
        <x:v>按经过验证的恢复方案回滚；恢复任务配置；保留升级前后证据</x:v>
      </x:c>
      <x:c r="K221" s="4" t="str">
        <x:v>步骤观察、实际结果、证据文件与清理核对</x:v>
      </x:c>
      <x:c r="L221" s="4" t="str">
        <x:v>UI主操作＋API只读核对</x:v>
      </x:c>
      <x:c r="M221" s="4" t="str">
        <x:v>受影响模块回归</x:v>
      </x:c>
      <x:c r="N221" s="4" t="str">
        <x:v>目标设备具备该能力</x:v>
      </x:c>
      <x:c r="O221" s="4" t="str">
        <x:v>src/web/src/views/box/systemManagement/systemMaintain；docs/reference/api.md；docs/guide/test-cases.md</x:v>
      </x:c>
      <x:c r="P221" s="4" t="str">
        <x:v>未执行</x:v>
      </x:c>
      <x:c r="Q221" s="19" t="str"/>
      <x:c r="R221" s="12" t="str"/>
      <x:c r="S221" s="12" t="str"/>
      <x:c r="T221" s="4" t="n">
        <x:v>1</x:v>
      </x:c>
      <x:c r="U221" s="4" t="str">
        <x:v>DUT；UPGRADE-PACKAGE；ROLLBACK-PACKAGE；RECOVERY-KIT</x:v>
      </x:c>
      <x:c r="V221" s="4" t="str">
        <x:v>codex-ui-and-evidence</x:v>
      </x:c>
      <x:c r="W221" s="4" t="str"/>
      <x:c r="X221" s="4" t="str"/>
      <x:c r="Y221" s="4" t="str"/>
      <x:c r="Z221" s="4" t="str"/>
      <x:c r="AA221" s="4" t="str"/>
      <x:c r="AB221" s="4" t="str"/>
      <x:c r="AC221" s="4" t="str"/>
    </x:row>
    <x:row r="222" ht="53" customHeight="1">
      <x:c r="A222" s="17" t="str">
        <x:v>UPG-006</x:v>
      </x:c>
      <x:c r="B222" s="17" t="str">
        <x:v>J11</x:v>
      </x:c>
      <x:c r="C222" s="17" t="str">
        <x:v>升级重启与恢复</x:v>
      </x:c>
      <x:c r="D222" s="17" t="str">
        <x:v>P0</x:v>
      </x:c>
      <x:c r="E222" s="17" t="str">
        <x:v>重复升级提交与按钮状态</x:v>
      </x:c>
      <x:c r="F222" s="17" t="str">
        <x:v>仅隔离测试设备；备份已演练；恢复入口和窗口已确认</x:v>
      </x:c>
      <x:c r="G222" s="17" t="str">
        <x:v>与实测芯片匹配的当前版/候选版包；回滚包待补</x:v>
      </x:c>
      <x:c r="H222" s="17" t="str">
        <x:v>1. 上传完成后双击升级
2. 刷新页面
3. 另一窗口观察</x:v>
      </x:c>
      <x:c r="I222" s="17" t="str">
        <x:v>只启动一次有效升级；进行中状态明确；不会并行破坏包或配置。</x:v>
      </x:c>
      <x:c r="J222" s="17" t="str">
        <x:v>按经过验证的恢复方案回滚；恢复任务配置；保留升级前后证据</x:v>
      </x:c>
      <x:c r="K222" s="17" t="str">
        <x:v>步骤观察、实际结果、证据文件与清理核对</x:v>
      </x:c>
      <x:c r="L222" s="17" t="str">
        <x:v>UI主操作＋API只读核对</x:v>
      </x:c>
      <x:c r="M222" s="17" t="str">
        <x:v>受影响模块回归</x:v>
      </x:c>
      <x:c r="N222" s="17" t="str">
        <x:v>目标设备具备该能力</x:v>
      </x:c>
      <x:c r="O222" s="17" t="str">
        <x:v>src/web/src/views/box/systemManagement/systemMaintain；docs/reference/api.md；docs/guide/test-cases.md</x:v>
      </x:c>
      <x:c r="P222" s="17" t="str">
        <x:v>未执行</x:v>
      </x:c>
      <x:c r="Q222" s="19" t="str"/>
      <x:c r="R222" s="17" t="str"/>
      <x:c r="S222" s="17" t="str"/>
      <x:c r="T222" s="17" t="n">
        <x:v>1</x:v>
      </x:c>
      <x:c r="U222" s="17" t="str">
        <x:v>DUT；UPGRADE-PACKAGE；ROLLBACK-PACKAGE；RECOVERY-KIT</x:v>
      </x:c>
      <x:c r="V222" s="17" t="str">
        <x:v>codex-ui-and-evidence</x:v>
      </x:c>
      <x:c r="W222" s="17" t="str"/>
      <x:c r="X222" s="17" t="str"/>
      <x:c r="Y222" s="17" t="str"/>
      <x:c r="Z222" s="17" t="str"/>
      <x:c r="AA222" s="17" t="str"/>
      <x:c r="AB222" s="17" t="str"/>
      <x:c r="AC222" s="17" t="str"/>
    </x:row>
    <x:row r="223" ht="53" customHeight="1">
      <x:c r="A223" s="4" t="str">
        <x:v>UPG-007</x:v>
      </x:c>
      <x:c r="B223" s="4" t="str">
        <x:v>J11</x:v>
      </x:c>
      <x:c r="C223" s="4" t="str">
        <x:v>升级重启与恢复</x:v>
      </x:c>
      <x:c r="D223" s="4" t="str">
        <x:v>P0</x:v>
      </x:c>
      <x:c r="E223" s="4" t="str">
        <x:v>HTTP恢复但未重启</x:v>
      </x:c>
      <x:c r="F223" s="4" t="str">
        <x:v>仅隔离测试设备；备份已演练；恢复入口和窗口已确认；可模拟状态接口的测试环境</x:v>
      </x:c>
      <x:c r="G223" s="4" t="str">
        <x:v>与实测芯片匹配的当前版/候选版包；回滚包待补</x:v>
      </x:c>
      <x:c r="H223" s="4" t="str">
        <x:v>1. 让状态接口重新200但bootId未变
2. 再模拟版本不符
3. 模拟会话401</x:v>
      </x:c>
      <x:c r="I223" s="4" t="str">
        <x:v>前端不得宣布升级成功；版本不符/需重登有独立提示；不能把401一概当升级失败或成功。</x:v>
      </x:c>
      <x:c r="J223" s="4" t="str">
        <x:v>按经过验证的恢复方案回滚；恢复任务配置；保留升级前后证据</x:v>
      </x:c>
      <x:c r="K223" s="4" t="str">
        <x:v>步骤观察、实际结果、证据文件与清理核对</x:v>
      </x:c>
      <x:c r="L223" s="4" t="str">
        <x:v>UI主操作＋API只读核对</x:v>
      </x:c>
      <x:c r="M223" s="4" t="str">
        <x:v>受影响模块回归</x:v>
      </x:c>
      <x:c r="N223" s="4" t="str">
        <x:v>目标设备具备该能力</x:v>
      </x:c>
      <x:c r="O223" s="4" t="str">
        <x:v>src/web/src/views/box/systemManagement/systemMaintain；docs/reference/api.md；docs/guide/test-cases.md</x:v>
      </x:c>
      <x:c r="P223" s="4" t="str">
        <x:v>未执行</x:v>
      </x:c>
      <x:c r="Q223" s="19" t="str"/>
      <x:c r="R223" s="12" t="str"/>
      <x:c r="S223" s="12" t="str"/>
      <x:c r="T223" s="4" t="n">
        <x:v>1</x:v>
      </x:c>
      <x:c r="U223" s="4" t="str">
        <x:v>DUT；UPGRADE-PACKAGE；ROLLBACK-PACKAGE；RECOVERY-KIT</x:v>
      </x:c>
      <x:c r="V223" s="4" t="str">
        <x:v>codex-ui-and-evidence</x:v>
      </x:c>
      <x:c r="W223" s="4" t="str"/>
      <x:c r="X223" s="4" t="str"/>
      <x:c r="Y223" s="4" t="str"/>
      <x:c r="Z223" s="4" t="str"/>
      <x:c r="AA223" s="4" t="str"/>
      <x:c r="AB223" s="4" t="str"/>
      <x:c r="AC223" s="4" t="str"/>
    </x:row>
    <x:row r="224" ht="68" customHeight="1">
      <x:c r="A224" s="17" t="str">
        <x:v>UPG-008</x:v>
      </x:c>
      <x:c r="B224" s="17" t="str">
        <x:v>J11</x:v>
      </x:c>
      <x:c r="C224" s="17" t="str">
        <x:v>升级重启与恢复</x:v>
      </x:c>
      <x:c r="D224" s="17" t="str">
        <x:v>P0</x:v>
      </x:c>
      <x:c r="E224" s="17" t="str">
        <x:v>设备长时间未恢复</x:v>
      </x:c>
      <x:c r="F224" s="17" t="str">
        <x:v>仅隔离测试设备；备份已演练；恢复入口和窗口已确认；隔离设备与恢复手段</x:v>
      </x:c>
      <x:c r="G224" s="17" t="str">
        <x:v>与实测芯片匹配的当前版/候选版包；回滚包待补</x:v>
      </x:c>
      <x:c r="H224" s="17" t="str">
        <x:v>1. 执行受控失败升级
2. 等待页面超时
3. 使用恢复入口检查
4. 按手册恢复</x:v>
      </x:c>
      <x:c r="I224" s="17" t="str">
        <x:v>超时可定位；不无限等待或假成功；记录旧/新版本及数据状态；恢复方案可复现。</x:v>
      </x:c>
      <x:c r="J224" s="17" t="str">
        <x:v>按经过验证的恢复方案回滚；恢复任务配置；保留升级前后证据</x:v>
      </x:c>
      <x:c r="K224" s="17" t="str">
        <x:v>步骤观察、实际结果、证据文件与清理核对</x:v>
      </x:c>
      <x:c r="L224" s="17" t="str">
        <x:v>UI主操作＋API只读核对</x:v>
      </x:c>
      <x:c r="M224" s="17" t="str">
        <x:v>发布全量/高影响</x:v>
      </x:c>
      <x:c r="N224" s="17" t="str">
        <x:v>目标设备具备该能力</x:v>
      </x:c>
      <x:c r="O224" s="17" t="str">
        <x:v>src/web/src/views/box/systemManagement/systemMaintain；docs/reference/api.md；docs/guide/test-cases.md</x:v>
      </x:c>
      <x:c r="P224" s="17" t="str">
        <x:v>未执行</x:v>
      </x:c>
      <x:c r="Q224" s="19" t="str"/>
      <x:c r="R224" s="17" t="str"/>
      <x:c r="S224" s="17" t="str"/>
      <x:c r="T224" s="17" t="n">
        <x:v>1</x:v>
      </x:c>
      <x:c r="U224" s="17" t="str">
        <x:v>DUT；UPGRADE-PACKAGE；ROLLBACK-PACKAGE；RECOVERY-KIT</x:v>
      </x:c>
      <x:c r="V224" s="17" t="str">
        <x:v>codex-ui-and-evidence</x:v>
      </x:c>
      <x:c r="W224" s="17" t="str"/>
      <x:c r="X224" s="17" t="str"/>
      <x:c r="Y224" s="17" t="str"/>
      <x:c r="Z224" s="17" t="str"/>
      <x:c r="AA224" s="17" t="str"/>
      <x:c r="AB224" s="17" t="str"/>
      <x:c r="AC224" s="17" t="str"/>
    </x:row>
    <x:row r="225" ht="83" customHeight="1">
      <x:c r="A225" s="4" t="str">
        <x:v>UPG-009</x:v>
      </x:c>
      <x:c r="B225" s="4" t="str">
        <x:v>J11</x:v>
      </x:c>
      <x:c r="C225" s="4" t="str">
        <x:v>升级重启与恢复</x:v>
      </x:c>
      <x:c r="D225" s="4" t="str">
        <x:v>P0</x:v>
      </x:c>
      <x:c r="E225" s="4" t="str">
        <x:v>升级后逐协议与底库回归</x:v>
      </x:c>
      <x:c r="F225" s="4" t="str">
        <x:v>仅隔离测试设备；备份已演练；恢复入口和窗口已确认；升级后环境</x:v>
      </x:c>
      <x:c r="G225" s="4" t="str">
        <x:v>与实测芯片匹配的当前版/候选版包；回滚包待补</x:v>
      </x:c>
      <x:c r="H225" s="4" t="str">
        <x:v>1. 复测RTSP/ONVIF/GB/NVR四路
2. 人脸工服识别
3. 参数ROI
4. 推送录像
5. 重启</x:v>
      </x:c>
      <x:c r="I225" s="4" t="str">
        <x:v>各能力按独立检查点通过；旧凭据密钥与任务绑定不丢；未测项不能被升级成功覆盖。</x:v>
      </x:c>
      <x:c r="J225" s="4" t="str">
        <x:v>按经过验证的恢复方案回滚；恢复任务配置；保留升级前后证据</x:v>
      </x:c>
      <x:c r="K225" s="4" t="str">
        <x:v>步骤观察、实际结果、证据文件与清理核对</x:v>
      </x:c>
      <x:c r="L225" s="4" t="str">
        <x:v>UI主操作＋API只读核对</x:v>
      </x:c>
      <x:c r="M225" s="4" t="str">
        <x:v>发布全量/高影响</x:v>
      </x:c>
      <x:c r="N225" s="4" t="str">
        <x:v>目标设备具备该能力</x:v>
      </x:c>
      <x:c r="O225" s="4" t="str">
        <x:v>src/web/src/views/box/systemManagement/systemMaintain；docs/reference/api.md；docs/guide/test-cases.md</x:v>
      </x:c>
      <x:c r="P225" s="4" t="str">
        <x:v>未执行</x:v>
      </x:c>
      <x:c r="Q225" s="19" t="str"/>
      <x:c r="R225" s="12" t="str"/>
      <x:c r="S225" s="12" t="str"/>
      <x:c r="T225" s="4" t="n">
        <x:v>1</x:v>
      </x:c>
      <x:c r="U225" s="4" t="str">
        <x:v>DUT；UPGRADE-PACKAGE；ROLLBACK-PACKAGE；RECOVERY-KIT</x:v>
      </x:c>
      <x:c r="V225" s="4" t="str">
        <x:v>codex-ui-and-evidence</x:v>
      </x:c>
      <x:c r="W225" s="4" t="str"/>
      <x:c r="X225" s="4" t="str"/>
      <x:c r="Y225" s="4" t="str"/>
      <x:c r="Z225" s="4" t="str"/>
      <x:c r="AA225" s="4" t="str"/>
      <x:c r="AB225" s="4" t="str"/>
      <x:c r="AC225" s="4" t="str"/>
    </x:row>
    <x:row r="226" ht="68" customHeight="1">
      <x:c r="A226" s="17" t="str">
        <x:v>UPG-010</x:v>
      </x:c>
      <x:c r="B226" s="17" t="str">
        <x:v>J11</x:v>
      </x:c>
      <x:c r="C226" s="17" t="str">
        <x:v>升级重启与恢复</x:v>
      </x:c>
      <x:c r="D226" s="17" t="str">
        <x:v>P0</x:v>
      </x:c>
      <x:c r="E226" s="17" t="str">
        <x:v>上一版本迁移与自定义场景</x:v>
      </x:c>
      <x:c r="F226" s="17" t="str">
        <x:v>仅隔离测试设备；备份已演练；恢复入口和窗口已确认；上一发布版真实配置副本</x:v>
      </x:c>
      <x:c r="G226" s="17" t="str">
        <x:v>与实测芯片匹配的当前版/候选版包；回滚包待补</x:v>
      </x:c>
      <x:c r="H226" s="17" t="str">
        <x:v>1. 从旧版建立自定义字段和场景
2. 升级
3. 打开保存并运行
4. 导出对比</x:v>
      </x:c>
      <x:c r="I226" s="17" t="str">
        <x:v>历史参数枚举与库数据不静默损坏；迁移结果与原业务期望一致。</x:v>
      </x:c>
      <x:c r="J226" s="17" t="str">
        <x:v>按经过验证的恢复方案回滚；恢复任务配置；保留升级前后证据</x:v>
      </x:c>
      <x:c r="K226" s="17" t="str">
        <x:v>步骤观察、实际结果、证据文件与清理核对</x:v>
      </x:c>
      <x:c r="L226" s="17" t="str">
        <x:v>UI主操作＋API只读核对</x:v>
      </x:c>
      <x:c r="M226" s="17" t="str">
        <x:v>发布全量/高影响</x:v>
      </x:c>
      <x:c r="N226" s="17" t="str">
        <x:v>目标设备具备该能力</x:v>
      </x:c>
      <x:c r="O226" s="17" t="str">
        <x:v>src/web/src/views/box/systemManagement/systemMaintain；docs/reference/api.md；docs/guide/test-cases.md</x:v>
      </x:c>
      <x:c r="P226" s="17" t="str">
        <x:v>未执行</x:v>
      </x:c>
      <x:c r="Q226" s="19" t="str"/>
      <x:c r="R226" s="17" t="str"/>
      <x:c r="S226" s="17" t="str"/>
      <x:c r="T226" s="17" t="n">
        <x:v>1</x:v>
      </x:c>
      <x:c r="U226" s="17" t="str">
        <x:v>DUT；UPGRADE-PACKAGE；ROLLBACK-PACKAGE；RECOVERY-KIT</x:v>
      </x:c>
      <x:c r="V226" s="17" t="str">
        <x:v>codex-ui-and-evidence</x:v>
      </x:c>
      <x:c r="W226" s="17" t="str"/>
      <x:c r="X226" s="17" t="str"/>
      <x:c r="Y226" s="17" t="str"/>
      <x:c r="Z226" s="17" t="str"/>
      <x:c r="AA226" s="17" t="str"/>
      <x:c r="AB226" s="17" t="str"/>
      <x:c r="AC226" s="17" t="str"/>
    </x:row>
    <x:row r="227" ht="53" customHeight="1">
      <x:c r="A227" s="4" t="str">
        <x:v>UPG-011</x:v>
      </x:c>
      <x:c r="B227" s="4" t="str">
        <x:v>J11</x:v>
      </x:c>
      <x:c r="C227" s="4" t="str">
        <x:v>升级重启与恢复</x:v>
      </x:c>
      <x:c r="D227" s="4" t="str">
        <x:v>P0</x:v>
      </x:c>
      <x:c r="E227" s="4" t="str">
        <x:v>回滚演练</x:v>
      </x:c>
      <x:c r="F227" s="4" t="str">
        <x:v>仅隔离测试设备；备份已演练；恢复入口和窗口已确认；项目支持且已确认的数据兼容回滚路径</x:v>
      </x:c>
      <x:c r="G227" s="4" t="str">
        <x:v>与实测芯片匹配的当前版/候选版包；回滚包待补</x:v>
      </x:c>
      <x:c r="H227" s="4" t="str">
        <x:v>1. 备份候选状态
2. 按恢复手册回到基线包和配套数据
3. 登录并复测</x:v>
      </x:c>
      <x:c r="I227" s="4" t="str">
        <x:v>以真实恢复方案验收，不假设有一键回滚；DB/配置/密钥版本匹配，业务恢复。</x:v>
      </x:c>
      <x:c r="J227" s="4" t="str">
        <x:v>按经过验证的恢复方案回滚；恢复任务配置；保留升级前后证据</x:v>
      </x:c>
      <x:c r="K227" s="4" t="str">
        <x:v>步骤观察、实际结果、证据文件与清理核对</x:v>
      </x:c>
      <x:c r="L227" s="4" t="str">
        <x:v>UI主操作＋API只读核对</x:v>
      </x:c>
      <x:c r="M227" s="4" t="str">
        <x:v>发布全量/高影响</x:v>
      </x:c>
      <x:c r="N227" s="4" t="str">
        <x:v>目标设备具备该能力</x:v>
      </x:c>
      <x:c r="O227" s="4" t="str">
        <x:v>src/web/src/views/box/systemManagement/systemMaintain；docs/reference/api.md；docs/guide/test-cases.md</x:v>
      </x:c>
      <x:c r="P227" s="4" t="str">
        <x:v>未执行</x:v>
      </x:c>
      <x:c r="Q227" s="19" t="str"/>
      <x:c r="R227" s="12" t="str"/>
      <x:c r="S227" s="12" t="str"/>
      <x:c r="T227" s="4" t="n">
        <x:v>1</x:v>
      </x:c>
      <x:c r="U227" s="4" t="str">
        <x:v>DUT；UPGRADE-PACKAGE；ROLLBACK-PACKAGE；RECOVERY-KIT</x:v>
      </x:c>
      <x:c r="V227" s="4" t="str">
        <x:v>codex-ui-and-evidence</x:v>
      </x:c>
      <x:c r="W227" s="4" t="str"/>
      <x:c r="X227" s="4" t="str"/>
      <x:c r="Y227" s="4" t="str"/>
      <x:c r="Z227" s="4" t="str"/>
      <x:c r="AA227" s="4" t="str"/>
      <x:c r="AB227" s="4" t="str"/>
      <x:c r="AC227" s="4" t="str"/>
    </x:row>
    <x:row r="228" ht="53" customHeight="1">
      <x:c r="A228" s="17" t="str">
        <x:v>UPG-012</x:v>
      </x:c>
      <x:c r="B228" s="17" t="str">
        <x:v>J11</x:v>
      </x:c>
      <x:c r="C228" s="17" t="str">
        <x:v>升级重启与恢复</x:v>
      </x:c>
      <x:c r="D228" s="17" t="str">
        <x:v>P1</x:v>
      </x:c>
      <x:c r="E228" s="17" t="str">
        <x:v>升级写入阶段断电</x:v>
      </x:c>
      <x:c r="F228" s="17" t="str">
        <x:v>仅隔离测试设备；备份已演练；恢复入口和窗口已确认；专用可重刷设备、可控电源及明确故障注入范围</x:v>
      </x:c>
      <x:c r="G228" s="17" t="str">
        <x:v>与实测芯片匹配的当前版/候选版包；回滚包待补</x:v>
      </x:c>
      <x:c r="H228" s="17" t="str">
        <x:v>1. 分别在已批准阶段切断电源
2. 重启检查
3. 按救援步骤恢复</x:v>
      </x:c>
      <x:c r="I228" s="17" t="str">
        <x:v>不作为普通冒烟；每阶段记录可恢复性与数据损失；自动回滚仅在实际实现支持时要求。</x:v>
      </x:c>
      <x:c r="J228" s="17" t="str">
        <x:v>按经过验证的恢复方案回滚；恢复任务配置；保留升级前后证据</x:v>
      </x:c>
      <x:c r="K228" s="17" t="str">
        <x:v>步骤观察、实际结果、证据文件与清理核对</x:v>
      </x:c>
      <x:c r="L228" s="17" t="str">
        <x:v>UI主操作＋API只读核对</x:v>
      </x:c>
      <x:c r="M228" s="17" t="str">
        <x:v>发布全量/高影响</x:v>
      </x:c>
      <x:c r="N228" s="17" t="str">
        <x:v>目标设备具备该能力</x:v>
      </x:c>
      <x:c r="O228" s="17" t="str">
        <x:v>src/web/src/views/box/systemManagement/systemMaintain；docs/reference/api.md；docs/guide/test-cases.md</x:v>
      </x:c>
      <x:c r="P228" s="17" t="str">
        <x:v>未执行</x:v>
      </x:c>
      <x:c r="Q228" s="19" t="str"/>
      <x:c r="R228" s="17" t="str"/>
      <x:c r="S228" s="17" t="str"/>
      <x:c r="T228" s="17" t="n">
        <x:v>1</x:v>
      </x:c>
      <x:c r="U228" s="17" t="str">
        <x:v>DUT；UPGRADE-PACKAGE；ROLLBACK-PACKAGE；RECOVERY-KIT</x:v>
      </x:c>
      <x:c r="V228" s="17" t="str">
        <x:v>codex-ui-and-evidence</x:v>
      </x:c>
      <x:c r="W228" s="17" t="str"/>
      <x:c r="X228" s="17" t="str"/>
      <x:c r="Y228" s="17" t="str"/>
      <x:c r="Z228" s="17" t="str"/>
      <x:c r="AA228" s="17" t="str"/>
      <x:c r="AB228" s="17" t="str"/>
      <x:c r="AC228" s="17" t="str"/>
    </x:row>
    <x:row r="229" ht="68" customHeight="1">
      <x:c r="A229" s="4" t="str">
        <x:v>UPG-013</x:v>
      </x:c>
      <x:c r="B229" s="4" t="str">
        <x:v>J11</x:v>
      </x:c>
      <x:c r="C229" s="4" t="str">
        <x:v>升级重启与恢复</x:v>
      </x:c>
      <x:c r="D229" s="4" t="str">
        <x:v>P0</x:v>
      </x:c>
      <x:c r="E229" s="4" t="str">
        <x:v>重启与恢复出厂分离</x:v>
      </x:c>
      <x:c r="F229" s="4" t="str">
        <x:v>仅隔离测试设备；备份已演练；恢复入口和窗口已确认；恢复出厂仅空白或可销毁隔离实例</x:v>
      </x:c>
      <x:c r="G229" s="4" t="str">
        <x:v>与实测芯片匹配的当前版/候选版包；回滚包待补</x:v>
      </x:c>
      <x:c r="H229" s="4" t="str">
        <x:v>1. 先执行普通重启核对保留
2. 取消恢复出厂
3. 再确认恢复出厂
4. 登录核对清理契约</x:v>
      </x:c>
      <x:c r="I229" s="4" t="str">
        <x:v>重启不等于清空；取消无改变；出厂清理范围逐项核对，恢复原测试状态。</x:v>
      </x:c>
      <x:c r="J229" s="4" t="str">
        <x:v>按经过验证的恢复方案回滚；恢复任务配置；保留升级前后证据</x:v>
      </x:c>
      <x:c r="K229" s="4" t="str">
        <x:v>步骤观察、实际结果、证据文件与清理核对</x:v>
      </x:c>
      <x:c r="L229" s="4" t="str">
        <x:v>UI主操作＋API只读核对</x:v>
      </x:c>
      <x:c r="M229" s="4" t="str">
        <x:v>发布全量/高影响</x:v>
      </x:c>
      <x:c r="N229" s="4" t="str">
        <x:v>目标设备具备该能力</x:v>
      </x:c>
      <x:c r="O229" s="4" t="str">
        <x:v>src/web/src/views/box/systemManagement/systemMaintain；docs/reference/api.md；docs/guide/test-cases.md</x:v>
      </x:c>
      <x:c r="P229" s="4" t="str">
        <x:v>未执行</x:v>
      </x:c>
      <x:c r="Q229" s="19" t="str"/>
      <x:c r="R229" s="12" t="str"/>
      <x:c r="S229" s="12" t="str"/>
      <x:c r="T229" s="4" t="n">
        <x:v>1</x:v>
      </x:c>
      <x:c r="U229" s="4" t="str">
        <x:v>DUT；UPGRADE-PACKAGE；ROLLBACK-PACKAGE；RECOVERY-KIT</x:v>
      </x:c>
      <x:c r="V229" s="4" t="str">
        <x:v>codex-ui-and-evidence</x:v>
      </x:c>
      <x:c r="W229" s="4" t="str"/>
      <x:c r="X229" s="4" t="str"/>
      <x:c r="Y229" s="4" t="str"/>
      <x:c r="Z229" s="4" t="str"/>
      <x:c r="AA229" s="4" t="str"/>
      <x:c r="AB229" s="4" t="str"/>
      <x:c r="AC229" s="4" t="str"/>
    </x:row>
    <x:row r="230" ht="83" customHeight="1">
      <x:c r="A230" s="17" t="str">
        <x:v>FILE-001</x:v>
      </x:c>
      <x:c r="B230" s="17" t="str">
        <x:v>J03/J05/J11</x:v>
      </x:c>
      <x:c r="C230" s="17" t="str">
        <x:v>公共上传下载</x:v>
      </x:c>
      <x:c r="D230" s="17" t="str">
        <x:v>P0</x:v>
      </x:c>
      <x:c r="E230" s="17" t="str">
        <x:v>八类上传入口协议一致性</x:v>
      </x:c>
      <x:c r="F230" s="17" t="str">
        <x:v>受控文件副本；能力接口可用；空间异常使用配额沙箱；逐类记录实例ID</x:v>
      </x:c>
      <x:c r="G230" s="17" t="str">
        <x:v>模型视频图片人脸ZIP音频场景包升级包各一合法样本</x:v>
      </x:c>
      <x:c r="H230" s="17" t="str">
        <x:v>1. 打开对应上传入口
2. 查询能力
3. 分片上传
4. 消费到业务
5. 核对结果</x:v>
      </x:c>
      <x:c r="I230" s="17" t="str">
        <x:v>每类均验证上传和业务消费；分片大小按能力，默认8MiB不是文件总大小限制。</x:v>
      </x:c>
      <x:c r="J230" s="17" t="str">
        <x:v>取消或消费本轮上传会话；验证预留空间回收</x:v>
      </x:c>
      <x:c r="K230" s="17" t="str">
        <x:v>步骤观察、实际结果、证据文件与清理核对</x:v>
      </x:c>
      <x:c r="L230" s="17" t="str">
        <x:v>UI主操作＋API只读核对</x:v>
      </x:c>
      <x:c r="M230" s="17" t="str">
        <x:v>受影响模块回归</x:v>
      </x:c>
      <x:c r="N230" s="17" t="str">
        <x:v>目标设备具备该能力</x:v>
      </x:c>
      <x:c r="O230" s="17" t="str">
        <x:v>docs/reference/api.md；src/web/src/utils/chunkUpload；src/api/ApiRouterRoutes.cc</x:v>
      </x:c>
      <x:c r="P230" s="17" t="str">
        <x:v>未执行</x:v>
      </x:c>
      <x:c r="Q230" s="19" t="str"/>
      <x:c r="R230" s="17" t="str"/>
      <x:c r="S230" s="17" t="str"/>
      <x:c r="T230" s="17" t="n">
        <x:v>1</x:v>
      </x:c>
      <x:c r="U230" s="17" t="str">
        <x:v>DUT；GENERATED-FIXTURES</x:v>
      </x:c>
      <x:c r="V230" s="17" t="str">
        <x:v>codex-ui-and-evidence</x:v>
      </x:c>
      <x:c r="W230" s="17" t="str"/>
      <x:c r="X230" s="17" t="str"/>
      <x:c r="Y230" s="17" t="str"/>
      <x:c r="Z230" s="17" t="str"/>
      <x:c r="AA230" s="17" t="str"/>
      <x:c r="AB230" s="17" t="str"/>
      <x:c r="AC230" s="17" t="str"/>
    </x:row>
    <x:row r="231" ht="68" customHeight="1">
      <x:c r="A231" s="4" t="str">
        <x:v>FILE-002</x:v>
      </x:c>
      <x:c r="B231" s="4" t="str">
        <x:v>J03/J05/J11</x:v>
      </x:c>
      <x:c r="C231" s="4" t="str">
        <x:v>公共上传下载</x:v>
      </x:c>
      <x:c r="D231" s="4" t="str">
        <x:v>P0</x:v>
      </x:c>
      <x:c r="E231" s="4" t="str">
        <x:v>资源预算与并发预留</x:v>
      </x:c>
      <x:c r="F231" s="4" t="str">
        <x:v>受控文件副本；能力接口可用；空间异常使用配额沙箱；两并发上传和有限空间</x:v>
      </x:c>
      <x:c r="G231" s="4" t="str">
        <x:v>模型视频图片人脸ZIP音频场景包升级包各一合法样本</x:v>
      </x:c>
      <x:c r="H231" s="4" t="str">
        <x:v>1. 查询availableForNewUploadsBytes
2. 同时上传
3. 再查reservedBySessionsBytes
4. 取消一个</x:v>
      </x:c>
      <x:c r="I231" s="4" t="str">
        <x:v>预留不超卖；空间不足返回实际限制和建议；运行中的其他业务不被挤满磁盘。</x:v>
      </x:c>
      <x:c r="J231" s="4" t="str">
        <x:v>取消或消费本轮上传会话；验证预留空间回收</x:v>
      </x:c>
      <x:c r="K231" s="4" t="str">
        <x:v>步骤观察、实际结果、证据文件与清理核对</x:v>
      </x:c>
      <x:c r="L231" s="4" t="str">
        <x:v>UI主操作＋API只读核对</x:v>
      </x:c>
      <x:c r="M231" s="4" t="str">
        <x:v>受影响模块回归</x:v>
      </x:c>
      <x:c r="N231" s="4" t="str">
        <x:v>目标设备具备该能力</x:v>
      </x:c>
      <x:c r="O231" s="4" t="str">
        <x:v>docs/reference/api.md；src/web/src/utils/chunkUpload；src/api/ApiRouterRoutes.cc</x:v>
      </x:c>
      <x:c r="P231" s="4" t="str">
        <x:v>未执行</x:v>
      </x:c>
      <x:c r="Q231" s="19" t="str"/>
      <x:c r="R231" s="12" t="str"/>
      <x:c r="S231" s="12" t="str"/>
      <x:c r="T231" s="4" t="n">
        <x:v>1</x:v>
      </x:c>
      <x:c r="U231" s="4" t="str">
        <x:v>DUT；GENERATED-FIXTURES</x:v>
      </x:c>
      <x:c r="V231" s="4" t="str">
        <x:v>codex-ui-and-evidence</x:v>
      </x:c>
      <x:c r="W231" s="4" t="str"/>
      <x:c r="X231" s="4" t="str"/>
      <x:c r="Y231" s="4" t="str"/>
      <x:c r="Z231" s="4" t="str"/>
      <x:c r="AA231" s="4" t="str"/>
      <x:c r="AB231" s="4" t="str"/>
      <x:c r="AC231" s="4" t="str"/>
    </x:row>
    <x:row r="232" ht="68" customHeight="1">
      <x:c r="A232" s="17" t="str">
        <x:v>FILE-003</x:v>
      </x:c>
      <x:c r="B232" s="17" t="str">
        <x:v>J03/J05/J11</x:v>
      </x:c>
      <x:c r="C232" s="17" t="str">
        <x:v>公共上传下载</x:v>
      </x:c>
      <x:c r="D232" s="17" t="str">
        <x:v>P0</x:v>
      </x:c>
      <x:c r="E232" s="17" t="str">
        <x:v>重复分片断线及重启恢复</x:v>
      </x:c>
      <x:c r="F232" s="17" t="str">
        <x:v>受控文件副本；能力接口可用；空间异常使用配额沙箱；专用上传会话</x:v>
      </x:c>
      <x:c r="G232" s="17" t="str">
        <x:v>模型视频图片人脸ZIP音频场景包升级包各一合法样本</x:v>
      </x:c>
      <x:c r="H232" s="17" t="str">
        <x:v>1. 发相同clientRequestId第0块
2. 重复已成功块
3. 断线或重启
4. 重新发0块续传</x:v>
      </x:c>
      <x:c r="I232" s="17" t="str">
        <x:v>uploadId/nextChunkIndex契约正确；不重写为坏文件；最终哈希一致，完成后清除恢复标识。</x:v>
      </x:c>
      <x:c r="J232" s="17" t="str">
        <x:v>取消或消费本轮上传会话；验证预留空间回收</x:v>
      </x:c>
      <x:c r="K232" s="17" t="str">
        <x:v>步骤观察、实际结果、证据文件与清理核对</x:v>
      </x:c>
      <x:c r="L232" s="17" t="str">
        <x:v>UI主操作＋API只读核对</x:v>
      </x:c>
      <x:c r="M232" s="17" t="str">
        <x:v>受影响模块回归</x:v>
      </x:c>
      <x:c r="N232" s="17" t="str">
        <x:v>目标设备具备该能力</x:v>
      </x:c>
      <x:c r="O232" s="17" t="str">
        <x:v>docs/reference/api.md；src/web/src/utils/chunkUpload；src/api/ApiRouterRoutes.cc</x:v>
      </x:c>
      <x:c r="P232" s="17" t="str">
        <x:v>未执行</x:v>
      </x:c>
      <x:c r="Q232" s="19" t="str"/>
      <x:c r="R232" s="17" t="str"/>
      <x:c r="S232" s="17" t="str"/>
      <x:c r="T232" s="17" t="n">
        <x:v>1</x:v>
      </x:c>
      <x:c r="U232" s="17" t="str">
        <x:v>DUT；GENERATED-FIXTURES</x:v>
      </x:c>
      <x:c r="V232" s="17" t="str">
        <x:v>codex-ui-and-evidence</x:v>
      </x:c>
      <x:c r="W232" s="17" t="str"/>
      <x:c r="X232" s="17" t="str"/>
      <x:c r="Y232" s="17" t="str"/>
      <x:c r="Z232" s="17" t="str"/>
      <x:c r="AA232" s="17" t="str"/>
      <x:c r="AB232" s="17" t="str"/>
      <x:c r="AC232" s="17" t="str"/>
    </x:row>
    <x:row r="233" ht="68" customHeight="1">
      <x:c r="A233" s="4" t="str">
        <x:v>FILE-004</x:v>
      </x:c>
      <x:c r="B233" s="4" t="str">
        <x:v>J03/J05/J11</x:v>
      </x:c>
      <x:c r="C233" s="4" t="str">
        <x:v>公共上传下载</x:v>
      </x:c>
      <x:c r="D233" s="4" t="str">
        <x:v>P1</x:v>
      </x:c>
      <x:c r="E233" s="4" t="str">
        <x:v>取消超时与会话清理</x:v>
      </x:c>
      <x:c r="F233" s="4" t="str">
        <x:v>受控文件副本；能力接口可用；空间异常使用配额沙箱；可缩短策略的隔离环境</x:v>
      </x:c>
      <x:c r="G233" s="4" t="str">
        <x:v>模型视频图片人脸ZIP音频场景包升级包各一合法样本</x:v>
      </x:c>
      <x:c r="H233" s="4" t="str">
        <x:v>1. 取消上传
2. 重复取消
3. 让会话闲置过期
4. 查空间会话数</x:v>
      </x:c>
      <x:c r="I233" s="4" t="str">
        <x:v>预留和暂存及时回收；幂等反馈明确；绝对时长0不误当立即过期。</x:v>
      </x:c>
      <x:c r="J233" s="4" t="str">
        <x:v>取消或消费本轮上传会话；验证预留空间回收</x:v>
      </x:c>
      <x:c r="K233" s="4" t="str">
        <x:v>步骤观察、实际结果、证据文件与清理核对</x:v>
      </x:c>
      <x:c r="L233" s="4" t="str">
        <x:v>UI主操作＋API只读核对</x:v>
      </x:c>
      <x:c r="M233" s="4" t="str">
        <x:v>受影响模块回归</x:v>
      </x:c>
      <x:c r="N233" s="4" t="str">
        <x:v>目标设备具备该能力</x:v>
      </x:c>
      <x:c r="O233" s="4" t="str">
        <x:v>docs/reference/api.md；src/web/src/utils/chunkUpload；src/api/ApiRouterRoutes.cc</x:v>
      </x:c>
      <x:c r="P233" s="4" t="str">
        <x:v>未执行</x:v>
      </x:c>
      <x:c r="Q233" s="19" t="str"/>
      <x:c r="R233" s="12" t="str"/>
      <x:c r="S233" s="12" t="str"/>
      <x:c r="T233" s="4" t="n">
        <x:v>1</x:v>
      </x:c>
      <x:c r="U233" s="4" t="str">
        <x:v>DUT；GENERATED-FIXTURES</x:v>
      </x:c>
      <x:c r="V233" s="4" t="str">
        <x:v>codex-ui-and-evidence</x:v>
      </x:c>
      <x:c r="W233" s="4" t="str"/>
      <x:c r="X233" s="4" t="str"/>
      <x:c r="Y233" s="4" t="str"/>
      <x:c r="Z233" s="4" t="str"/>
      <x:c r="AA233" s="4" t="str"/>
      <x:c r="AB233" s="4" t="str"/>
      <x:c r="AC233" s="4" t="str"/>
    </x:row>
    <x:row r="234" ht="53" customHeight="1">
      <x:c r="A234" s="17" t="str">
        <x:v>FILE-005</x:v>
      </x:c>
      <x:c r="B234" s="17" t="str">
        <x:v>J03/J05/J11</x:v>
      </x:c>
      <x:c r="C234" s="17" t="str">
        <x:v>公共上传下载</x:v>
      </x:c>
      <x:c r="D234" s="17" t="str">
        <x:v>P0</x:v>
      </x:c>
      <x:c r="E234" s="17" t="str">
        <x:v>错误片序与会话归属</x:v>
      </x:c>
      <x:c r="F234" s="17" t="str">
        <x:v>受控文件副本；能力接口可用；空间异常使用配额沙箱；两个隔离账号或会话</x:v>
      </x:c>
      <x:c r="G234" s="17" t="str">
        <x:v>模型视频图片人脸ZIP音频场景包升级包各一合法样本</x:v>
      </x:c>
      <x:c r="H234" s="17" t="str">
        <x:v>1. 发错误片序/总大小/文件身份
2. 用另一会话引用uploadId
3. 再正常上传</x:v>
      </x:c>
      <x:c r="I234" s="17" t="str">
        <x:v>错误拒绝且不能读取消费其他主体文件；不会混拼；有效会话仍可恢复。</x:v>
      </x:c>
      <x:c r="J234" s="17" t="str">
        <x:v>取消或消费本轮上传会话；验证预留空间回收</x:v>
      </x:c>
      <x:c r="K234" s="17" t="str">
        <x:v>步骤观察、实际结果、证据文件与清理核对</x:v>
      </x:c>
      <x:c r="L234" s="17" t="str">
        <x:v>UI主操作＋API只读核对</x:v>
      </x:c>
      <x:c r="M234" s="17" t="str">
        <x:v>受影响模块回归</x:v>
      </x:c>
      <x:c r="N234" s="17" t="str">
        <x:v>目标设备具备该能力</x:v>
      </x:c>
      <x:c r="O234" s="17" t="str">
        <x:v>docs/reference/api.md；src/web/src/utils/chunkUpload；src/api/ApiRouterRoutes.cc</x:v>
      </x:c>
      <x:c r="P234" s="17" t="str">
        <x:v>未执行</x:v>
      </x:c>
      <x:c r="Q234" s="19" t="str"/>
      <x:c r="R234" s="17" t="str"/>
      <x:c r="S234" s="17" t="str"/>
      <x:c r="T234" s="17" t="n">
        <x:v>1</x:v>
      </x:c>
      <x:c r="U234" s="17" t="str">
        <x:v>DUT；GENERATED-FIXTURES</x:v>
      </x:c>
      <x:c r="V234" s="17" t="str">
        <x:v>codex-ui-and-evidence</x:v>
      </x:c>
      <x:c r="W234" s="17" t="str"/>
      <x:c r="X234" s="17" t="str"/>
      <x:c r="Y234" s="17" t="str"/>
      <x:c r="Z234" s="17" t="str"/>
      <x:c r="AA234" s="17" t="str"/>
      <x:c r="AB234" s="17" t="str"/>
      <x:c r="AC234" s="17" t="str"/>
    </x:row>
    <x:row r="235" ht="53" customHeight="1">
      <x:c r="A235" s="4" t="str">
        <x:v>FILE-006</x:v>
      </x:c>
      <x:c r="B235" s="4" t="str">
        <x:v>J03/J05/J11</x:v>
      </x:c>
      <x:c r="C235" s="4" t="str">
        <x:v>公共上传下载</x:v>
      </x:c>
      <x:c r="D235" s="4" t="str">
        <x:v>P1</x:v>
      </x:c>
      <x:c r="E235" s="4" t="str">
        <x:v>请求体限制和可操作错误</x:v>
      </x:c>
      <x:c r="F235" s="4" t="str">
        <x:v>受控文件副本；能力接口可用；空间异常使用配额沙箱；安全构造边界请求</x:v>
      </x:c>
      <x:c r="G235" s="4" t="str">
        <x:v>模型视频图片人脸ZIP音频场景包升级包各一合法样本</x:v>
      </x:c>
      <x:c r="H235" s="4" t="str">
        <x:v>1. 提交超1MiB JSON/超10MiB普通multipart
2. 对照合法分片上传
3. 检查前端提示</x:v>
      </x:c>
      <x:c r="I235" s="4" t="str">
        <x:v>按当前配置边界返回413及缩小请求/分片建议；不误称完整文件不可上传。</x:v>
      </x:c>
      <x:c r="J235" s="4" t="str">
        <x:v>取消或消费本轮上传会话；验证预留空间回收</x:v>
      </x:c>
      <x:c r="K235" s="4" t="str">
        <x:v>步骤观察、实际结果、证据文件与清理核对</x:v>
      </x:c>
      <x:c r="L235" s="4" t="str">
        <x:v>UI主操作＋API只读核对</x:v>
      </x:c>
      <x:c r="M235" s="4" t="str">
        <x:v>受影响模块回归</x:v>
      </x:c>
      <x:c r="N235" s="4" t="str">
        <x:v>目标设备具备该能力</x:v>
      </x:c>
      <x:c r="O235" s="4" t="str">
        <x:v>docs/reference/api.md；src/web/src/utils/chunkUpload；src/api/ApiRouterRoutes.cc</x:v>
      </x:c>
      <x:c r="P235" s="4" t="str">
        <x:v>未执行</x:v>
      </x:c>
      <x:c r="Q235" s="19" t="str"/>
      <x:c r="R235" s="12" t="str"/>
      <x:c r="S235" s="12" t="str"/>
      <x:c r="T235" s="4" t="n">
        <x:v>1</x:v>
      </x:c>
      <x:c r="U235" s="4" t="str">
        <x:v>DUT；GENERATED-FIXTURES</x:v>
      </x:c>
      <x:c r="V235" s="4" t="str">
        <x:v>codex-ui-and-evidence</x:v>
      </x:c>
      <x:c r="W235" s="4" t="str"/>
      <x:c r="X235" s="4" t="str"/>
      <x:c r="Y235" s="4" t="str"/>
      <x:c r="Z235" s="4" t="str"/>
      <x:c r="AA235" s="4" t="str"/>
      <x:c r="AB235" s="4" t="str"/>
      <x:c r="AC235" s="4" t="str"/>
    </x:row>
    <x:row r="236" ht="53" customHeight="1">
      <x:c r="A236" s="17" t="str">
        <x:v>FILE-007</x:v>
      </x:c>
      <x:c r="B236" s="17" t="str">
        <x:v>J03/J05/J11</x:v>
      </x:c>
      <x:c r="C236" s="17" t="str">
        <x:v>公共上传下载</x:v>
      </x:c>
      <x:c r="D236" s="17" t="str">
        <x:v>P0</x:v>
      </x:c>
      <x:c r="E236" s="17" t="str">
        <x:v>文件名和归档路径安全</x:v>
      </x:c>
      <x:c r="F236" s="17" t="str">
        <x:v>受控文件副本；能力接口可用；空间异常使用配额沙箱；小型无害路径穿越、绝对路径、符号链接归档</x:v>
      </x:c>
      <x:c r="G236" s="17" t="str">
        <x:v>模型视频图片人脸ZIP音频场景包升级包各一合法样本</x:v>
      </x:c>
      <x:c r="H236" s="17" t="str">
        <x:v>1. 在上传导入链路提交
2. 检查受管目录边界
3. 上传正常包</x:v>
      </x:c>
      <x:c r="I236" s="17" t="str">
        <x:v>不能写出或读取受管范围；错误清晰；不暴露宿主敏感路径。</x:v>
      </x:c>
      <x:c r="J236" s="17" t="str">
        <x:v>取消或消费本轮上传会话；验证预留空间回收</x:v>
      </x:c>
      <x:c r="K236" s="17" t="str">
        <x:v>步骤观察、实际结果、证据文件与清理核对</x:v>
      </x:c>
      <x:c r="L236" s="17" t="str">
        <x:v>UI主操作＋API只读核对</x:v>
      </x:c>
      <x:c r="M236" s="17" t="str">
        <x:v>受影响模块回归</x:v>
      </x:c>
      <x:c r="N236" s="17" t="str">
        <x:v>目标设备具备该能力</x:v>
      </x:c>
      <x:c r="O236" s="17" t="str">
        <x:v>docs/reference/api.md；src/web/src/utils/chunkUpload；src/api/ApiRouterRoutes.cc</x:v>
      </x:c>
      <x:c r="P236" s="17" t="str">
        <x:v>未执行</x:v>
      </x:c>
      <x:c r="Q236" s="19" t="str"/>
      <x:c r="R236" s="17" t="str"/>
      <x:c r="S236" s="17" t="str"/>
      <x:c r="T236" s="17" t="n">
        <x:v>1</x:v>
      </x:c>
      <x:c r="U236" s="17" t="str">
        <x:v>DUT；GENERATED-FIXTURES</x:v>
      </x:c>
      <x:c r="V236" s="17" t="str">
        <x:v>codex-ui-and-evidence</x:v>
      </x:c>
      <x:c r="W236" s="17" t="str"/>
      <x:c r="X236" s="17" t="str"/>
      <x:c r="Y236" s="17" t="str"/>
      <x:c r="Z236" s="17" t="str"/>
      <x:c r="AA236" s="17" t="str"/>
      <x:c r="AB236" s="17" t="str"/>
      <x:c r="AC236" s="17" t="str"/>
    </x:row>
    <x:row r="237" ht="68" customHeight="1">
      <x:c r="A237" s="4" t="str">
        <x:v>FILE-008</x:v>
      </x:c>
      <x:c r="B237" s="4" t="str">
        <x:v>J03/J05/J11</x:v>
      </x:c>
      <x:c r="C237" s="4" t="str">
        <x:v>公共上传下载</x:v>
      </x:c>
      <x:c r="D237" s="4" t="str">
        <x:v>P1</x:v>
      </x:c>
      <x:c r="E237" s="4" t="str">
        <x:v>流式下载与Range</x:v>
      </x:c>
      <x:c r="F237" s="4" t="str">
        <x:v>受控文件副本；能力接口可用；空间异常使用配额沙箱；可导出的用户模型/受管文件</x:v>
      </x:c>
      <x:c r="G237" s="4" t="str">
        <x:v>模型视频图片人脸ZIP音频场景包升级包各一合法样本</x:v>
      </x:c>
      <x:c r="H237" s="4" t="str">
        <x:v>1. 完整下载核对哈希
2. 单段Range
3. 不可满足范围
4. 中断重试</x:v>
      </x:c>
      <x:c r="I237" s="4" t="str">
        <x:v>完整内容一致；合法范围206和正确Content-Range；无效范围416；内存不随整文件增长。</x:v>
      </x:c>
      <x:c r="J237" s="4" t="str">
        <x:v>取消或消费本轮上传会话；验证预留空间回收</x:v>
      </x:c>
      <x:c r="K237" s="4" t="str">
        <x:v>步骤观察、实际结果、证据文件与清理核对</x:v>
      </x:c>
      <x:c r="L237" s="4" t="str">
        <x:v>UI主操作＋API只读核对</x:v>
      </x:c>
      <x:c r="M237" s="4" t="str">
        <x:v>受影响模块回归</x:v>
      </x:c>
      <x:c r="N237" s="4" t="str">
        <x:v>目标设备具备该能力</x:v>
      </x:c>
      <x:c r="O237" s="4" t="str">
        <x:v>docs/reference/api.md；src/web/src/utils/chunkUpload；src/api/ApiRouterRoutes.cc</x:v>
      </x:c>
      <x:c r="P237" s="4" t="str">
        <x:v>未执行</x:v>
      </x:c>
      <x:c r="Q237" s="19" t="str"/>
      <x:c r="R237" s="12" t="str"/>
      <x:c r="S237" s="12" t="str"/>
      <x:c r="T237" s="4" t="n">
        <x:v>1</x:v>
      </x:c>
      <x:c r="U237" s="4" t="str">
        <x:v>DUT；GENERATED-FIXTURES</x:v>
      </x:c>
      <x:c r="V237" s="4" t="str">
        <x:v>codex-ui-and-evidence</x:v>
      </x:c>
      <x:c r="W237" s="4" t="str"/>
      <x:c r="X237" s="4" t="str"/>
      <x:c r="Y237" s="4" t="str"/>
      <x:c r="Z237" s="4" t="str"/>
      <x:c r="AA237" s="4" t="str"/>
      <x:c r="AB237" s="4" t="str"/>
      <x:c r="AC237" s="4" t="str"/>
    </x:row>
    <x:row r="238" ht="53" customHeight="1">
      <x:c r="A238" s="17" t="str">
        <x:v>FILE-009</x:v>
      </x:c>
      <x:c r="B238" s="17" t="str">
        <x:v>J03/J05/J11</x:v>
      </x:c>
      <x:c r="C238" s="17" t="str">
        <x:v>公共上传下载</x:v>
      </x:c>
      <x:c r="D238" s="17" t="str">
        <x:v>P1</x:v>
      </x:c>
      <x:c r="E238" s="17" t="str">
        <x:v>错误建议的中英文呈现</x:v>
      </x:c>
      <x:c r="F238" s="17" t="str">
        <x:v>受控文件副本；能力接口可用；空间异常使用配额沙箱；空间不足、繁忙、图片超限错误</x:v>
      </x:c>
      <x:c r="G238" s="17" t="str">
        <x:v>模型视频图片人脸ZIP音频场景包升级包各一合法样本</x:v>
      </x:c>
      <x:c r="H238" s="17" t="str">
        <x:v>1. 触发各类错误
2. 切中英文
3. 检查数值及重试时间</x:v>
      </x:c>
      <x:c r="I238" s="17" t="str">
        <x:v>不统一降级为上传失败；实际值限制值单位和recommendedAction正确可读。</x:v>
      </x:c>
      <x:c r="J238" s="17" t="str">
        <x:v>取消或消费本轮上传会话；验证预留空间回收</x:v>
      </x:c>
      <x:c r="K238" s="17" t="str">
        <x:v>步骤观察、实际结果、证据文件与清理核对</x:v>
      </x:c>
      <x:c r="L238" s="17" t="str">
        <x:v>UI主操作＋API只读核对</x:v>
      </x:c>
      <x:c r="M238" s="17" t="str">
        <x:v>受影响模块回归</x:v>
      </x:c>
      <x:c r="N238" s="17" t="str">
        <x:v>目标设备具备该能力</x:v>
      </x:c>
      <x:c r="O238" s="17" t="str">
        <x:v>docs/reference/api.md；src/web/src/utils/chunkUpload；src/api/ApiRouterRoutes.cc</x:v>
      </x:c>
      <x:c r="P238" s="17" t="str">
        <x:v>未执行</x:v>
      </x:c>
      <x:c r="Q238" s="19" t="str"/>
      <x:c r="R238" s="17" t="str"/>
      <x:c r="S238" s="17" t="str"/>
      <x:c r="T238" s="17" t="n">
        <x:v>1</x:v>
      </x:c>
      <x:c r="U238" s="17" t="str">
        <x:v>DUT；GENERATED-FIXTURES</x:v>
      </x:c>
      <x:c r="V238" s="17" t="str">
        <x:v>codex-ui-and-evidence</x:v>
      </x:c>
      <x:c r="W238" s="17" t="str"/>
      <x:c r="X238" s="17" t="str"/>
      <x:c r="Y238" s="17" t="str"/>
      <x:c r="Z238" s="17" t="str"/>
      <x:c r="AA238" s="17" t="str"/>
      <x:c r="AB238" s="17" t="str"/>
      <x:c r="AC238" s="17" t="str"/>
    </x:row>
    <x:row r="239" ht="38" customHeight="1">
      <x:c r="A239" s="4" t="str">
        <x:v>API-001</x:v>
      </x:c>
      <x:c r="B239" s="4" t="str">
        <x:v>J12</x:v>
      </x:c>
      <x:c r="C239" s="4" t="str">
        <x:v>接口契约与隔离安全</x:v>
      </x:c>
      <x:c r="D239" s="4" t="str">
        <x:v>P0</x:v>
      </x:c>
      <x:c r="E239" s="4" t="str">
        <x:v>逐接口认证矩阵</x:v>
      </x:c>
      <x:c r="F239" s="4" t="str">
        <x:v>API补充验证，不能替代UI客户操作；高影响接口仅隔离执行；接口表每行单独记录</x:v>
      </x:c>
      <x:c r="G239" s="4" t="str">
        <x:v>隔离实例；schema；合法与无效请求夹具</x:v>
      </x:c>
      <x:c r="H239" s="4" t="str">
        <x:v>1. 对kAuth分别无token失效token有效token
2. 对kNoAuth核对公开数据范围</x:v>
      </x:c>
      <x:c r="I239" s="4" t="str">
        <x:v>鉴权符合逐行声明；Probe最小存活信息不泄露配置；HTTP不能复用MQTT信任旁路。</x:v>
      </x:c>
      <x:c r="J239" s="4" t="str">
        <x:v>清理接口创建的本轮对象和会话；恢复配置</x:v>
      </x:c>
      <x:c r="K239" s="4" t="str">
        <x:v>步骤观察、实际结果、证据文件与清理核对</x:v>
      </x:c>
      <x:c r="L239" s="4" t="str">
        <x:v>API/协议自动化；关联UI结果</x:v>
      </x:c>
      <x:c r="M239" s="4" t="str">
        <x:v>受影响模块回归</x:v>
      </x:c>
      <x:c r="N239" s="4" t="str">
        <x:v>每个注册路由按能力及影响单独准入</x:v>
      </x:c>
      <x:c r="O239" s="4" t="str">
        <x:v>src/api/ApiRouter.cc；src/api/ApiRouterRoutes.cc；docs/reference/api-fields.md；test/test_api_router.cc</x:v>
      </x:c>
      <x:c r="P239" s="4" t="str">
        <x:v>未执行</x:v>
      </x:c>
      <x:c r="Q239" s="19" t="str"/>
      <x:c r="R239" s="12" t="str"/>
      <x:c r="S239" s="12" t="str"/>
      <x:c r="T239" s="4" t="n">
        <x:v>1</x:v>
      </x:c>
      <x:c r="U239" s="4" t="str">
        <x:v>DUT；GENERATED-FIXTURES</x:v>
      </x:c>
      <x:c r="V239" s="4" t="str">
        <x:v>codex-script-and-evidence</x:v>
      </x:c>
      <x:c r="W239" s="4" t="str"/>
      <x:c r="X239" s="4" t="str"/>
      <x:c r="Y239" s="4" t="str"/>
      <x:c r="Z239" s="4" t="str"/>
      <x:c r="AA239" s="4" t="str"/>
      <x:c r="AB239" s="4" t="str"/>
      <x:c r="AC239" s="4" t="str"/>
    </x:row>
    <x:row r="240" ht="53" customHeight="1">
      <x:c r="A240" s="17" t="str">
        <x:v>API-002</x:v>
      </x:c>
      <x:c r="B240" s="17" t="str">
        <x:v>J12</x:v>
      </x:c>
      <x:c r="C240" s="17" t="str">
        <x:v>接口契约与隔离安全</x:v>
      </x:c>
      <x:c r="D240" s="17" t="str">
        <x:v>P0</x:v>
      </x:c>
      <x:c r="E240" s="17" t="str">
        <x:v>逐接口字段和业务错误</x:v>
      </x:c>
      <x:c r="F240" s="17" t="str">
        <x:v>API补充验证，不能替代UI客户操作；高影响接口仅隔离执行；字段级API文档与DTO作夹具来源</x:v>
      </x:c>
      <x:c r="G240" s="17" t="str">
        <x:v>隔离实例；schema；合法与无效请求夹具</x:v>
      </x:c>
      <x:c r="H240" s="17" t="str">
        <x:v>1. 对每接口有效请求
2. 缺必填、错类型、越界、无效ID
3. 回读持久化结果</x:v>
      </x:c>
      <x:c r="I240" s="17" t="str">
        <x:v>HTTP和业务resCode两层核验；不能只看200；非法请求不产生部分副作用；错误可定位。</x:v>
      </x:c>
      <x:c r="J240" s="17" t="str">
        <x:v>清理接口创建的本轮对象和会话；恢复配置</x:v>
      </x:c>
      <x:c r="K240" s="17" t="str">
        <x:v>步骤观察、实际结果、证据文件与清理核对</x:v>
      </x:c>
      <x:c r="L240" s="17" t="str">
        <x:v>API/协议自动化；关联UI结果</x:v>
      </x:c>
      <x:c r="M240" s="17" t="str">
        <x:v>受影响模块回归</x:v>
      </x:c>
      <x:c r="N240" s="17" t="str">
        <x:v>每个注册路由按能力及影响单独准入</x:v>
      </x:c>
      <x:c r="O240" s="17" t="str">
        <x:v>src/api/ApiRouter.cc；src/api/ApiRouterRoutes.cc；docs/reference/api-fields.md；test/test_api_router.cc</x:v>
      </x:c>
      <x:c r="P240" s="17" t="str">
        <x:v>未执行</x:v>
      </x:c>
      <x:c r="Q240" s="19" t="str"/>
      <x:c r="R240" s="17" t="str"/>
      <x:c r="S240" s="17" t="str"/>
      <x:c r="T240" s="17" t="n">
        <x:v>1</x:v>
      </x:c>
      <x:c r="U240" s="17" t="str">
        <x:v>DUT；GENERATED-FIXTURES</x:v>
      </x:c>
      <x:c r="V240" s="17" t="str">
        <x:v>codex-script-and-evidence</x:v>
      </x:c>
      <x:c r="W240" s="17" t="str"/>
      <x:c r="X240" s="17" t="str"/>
      <x:c r="Y240" s="17" t="str"/>
      <x:c r="Z240" s="17" t="str"/>
      <x:c r="AA240" s="17" t="str"/>
      <x:c r="AB240" s="17" t="str"/>
      <x:c r="AC240" s="17" t="str"/>
    </x:row>
    <x:row r="241" ht="83" customHeight="1">
      <x:c r="A241" s="4" t="str">
        <x:v>API-003</x:v>
      </x:c>
      <x:c r="B241" s="4" t="str">
        <x:v>J12</x:v>
      </x:c>
      <x:c r="C241" s="4" t="str">
        <x:v>接口契约与隔离安全</x:v>
      </x:c>
      <x:c r="D241" s="4" t="str">
        <x:v>P0</x:v>
      </x:c>
      <x:c r="E241" s="4" t="str">
        <x:v>核心 AI Host 生命周期</x:v>
      </x:c>
      <x:c r="F241" s="4" t="str">
        <x:v>API补充验证，不能替代UI客户操作；高影响接口仅隔离执行；固定视频/图片场景</x:v>
      </x:c>
      <x:c r="G241" s="4" t="str">
        <x:v>隔离实例；schema；合法与无效请求夹具</x:v>
      </x:c>
      <x:c r="H241" s="4" t="str">
        <x:v>1. 创建视频Task及图片PTask
2. 查询状态信息
3. 操作合法节点
4. 取消
5. 查显存和任务</x:v>
      </x:c>
      <x:c r="I241" s="4" t="str">
        <x:v>创建运行输出取消闭环；无残留资源；诊断接口不被UI覆盖率遗漏。</x:v>
      </x:c>
      <x:c r="J241" s="4" t="str">
        <x:v>清理接口创建的本轮对象和会话；恢复配置</x:v>
      </x:c>
      <x:c r="K241" s="4" t="str">
        <x:v>步骤观察、实际结果、证据文件与清理核对</x:v>
      </x:c>
      <x:c r="L241" s="4" t="str">
        <x:v>API/协议自动化；关联UI结果</x:v>
      </x:c>
      <x:c r="M241" s="4" t="str">
        <x:v>受影响模块回归</x:v>
      </x:c>
      <x:c r="N241" s="4" t="str">
        <x:v>每个注册路由按能力及影响单独准入</x:v>
      </x:c>
      <x:c r="O241" s="4" t="str">
        <x:v>src/api/ApiRouter.cc；src/api/ApiRouterRoutes.cc；docs/reference/api-fields.md；test/test_api_router.cc</x:v>
      </x:c>
      <x:c r="P241" s="4" t="str">
        <x:v>未执行</x:v>
      </x:c>
      <x:c r="Q241" s="19" t="str"/>
      <x:c r="R241" s="12" t="str"/>
      <x:c r="S241" s="12" t="str"/>
      <x:c r="T241" s="4" t="n">
        <x:v>1</x:v>
      </x:c>
      <x:c r="U241" s="4" t="str">
        <x:v>DUT；GENERATED-FIXTURES</x:v>
      </x:c>
      <x:c r="V241" s="4" t="str">
        <x:v>codex-script-and-evidence</x:v>
      </x:c>
      <x:c r="W241" s="4" t="str"/>
      <x:c r="X241" s="4" t="str"/>
      <x:c r="Y241" s="4" t="str"/>
      <x:c r="Z241" s="4" t="str"/>
      <x:c r="AA241" s="4" t="str"/>
      <x:c r="AB241" s="4" t="str"/>
      <x:c r="AC241" s="4" t="str"/>
    </x:row>
    <x:row r="242" ht="53" customHeight="1">
      <x:c r="A242" s="17" t="str">
        <x:v>API-004</x:v>
      </x:c>
      <x:c r="B242" s="17" t="str">
        <x:v>J12</x:v>
      </x:c>
      <x:c r="C242" s="17" t="str">
        <x:v>接口契约与隔离安全</x:v>
      </x:c>
      <x:c r="D242" s="17" t="str">
        <x:v>P1</x:v>
      </x:c>
      <x:c r="E242" s="17" t="str">
        <x:v>API大小写与兼容别名</x:v>
      </x:c>
      <x:c r="F242" s="17" t="str">
        <x:v>API补充验证，不能替代UI客户操作；高影响接口仅隔离执行；已登记路由及三个gtw图片别名</x:v>
      </x:c>
      <x:c r="G242" s="17" t="str">
        <x:v>隔离实例；schema；合法与无效请求夹具</x:v>
      </x:c>
      <x:c r="H242" s="17" t="str">
        <x:v>1. 按文档和前端实际大小写调用
2. 比較v1/gtw图片端点
3. 查询不存在接口</x:v>
      </x:c>
      <x:c r="I242" s="17" t="str">
        <x:v>已注册规范化路由行为一致；兼容别名鉴权一致；未知端点明确失败。</x:v>
      </x:c>
      <x:c r="J242" s="17" t="str">
        <x:v>清理接口创建的本轮对象和会话；恢复配置</x:v>
      </x:c>
      <x:c r="K242" s="17" t="str">
        <x:v>步骤观察、实际结果、证据文件与清理核对</x:v>
      </x:c>
      <x:c r="L242" s="17" t="str">
        <x:v>API/协议自动化；关联UI结果</x:v>
      </x:c>
      <x:c r="M242" s="17" t="str">
        <x:v>受影响模块回归</x:v>
      </x:c>
      <x:c r="N242" s="17" t="str">
        <x:v>每个注册路由按能力及影响单独准入</x:v>
      </x:c>
      <x:c r="O242" s="17" t="str">
        <x:v>src/api/ApiRouter.cc；src/api/ApiRouterRoutes.cc；docs/reference/api-fields.md；test/test_api_router.cc</x:v>
      </x:c>
      <x:c r="P242" s="17" t="str">
        <x:v>未执行</x:v>
      </x:c>
      <x:c r="Q242" s="19" t="str"/>
      <x:c r="R242" s="17" t="str"/>
      <x:c r="S242" s="17" t="str"/>
      <x:c r="T242" s="17" t="n">
        <x:v>1</x:v>
      </x:c>
      <x:c r="U242" s="17" t="str">
        <x:v>DUT；GENERATED-FIXTURES</x:v>
      </x:c>
      <x:c r="V242" s="17" t="str">
        <x:v>codex-script-and-evidence</x:v>
      </x:c>
      <x:c r="W242" s="17" t="str"/>
      <x:c r="X242" s="17" t="str"/>
      <x:c r="Y242" s="17" t="str"/>
      <x:c r="Z242" s="17" t="str"/>
      <x:c r="AA242" s="17" t="str"/>
      <x:c r="AB242" s="17" t="str"/>
      <x:c r="AC242" s="17" t="str"/>
    </x:row>
    <x:row r="243" ht="53" customHeight="1">
      <x:c r="A243" s="4" t="str">
        <x:v>API-005</x:v>
      </x:c>
      <x:c r="B243" s="4" t="str">
        <x:v>J12</x:v>
      </x:c>
      <x:c r="C243" s="4" t="str">
        <x:v>接口契约与隔离安全</x:v>
      </x:c>
      <x:c r="D243" s="4" t="str">
        <x:v>P0</x:v>
      </x:c>
      <x:c r="E243" s="4" t="str">
        <x:v>并发删除更新与幂等</x:v>
      </x:c>
      <x:c r="F243" s="4" t="str">
        <x:v>API补充验证，不能替代UI客户操作；高影响接口仅隔离执行；同一测试对象</x:v>
      </x:c>
      <x:c r="G243" s="4" t="str">
        <x:v>隔离实例；schema；合法与无效请求夹具</x:v>
      </x:c>
      <x:c r="H243" s="4" t="str">
        <x:v>1. 两客户端同时更新/删除/启停
2. 观察最后状态
3. 重复请求</x:v>
      </x:c>
      <x:c r="I243" s="4" t="str">
        <x:v>不崩溃死锁或引用已释放对象；最终配置与运行一致；重复请求有明确语义。</x:v>
      </x:c>
      <x:c r="J243" s="4" t="str">
        <x:v>清理接口创建的本轮对象和会话；恢复配置</x:v>
      </x:c>
      <x:c r="K243" s="4" t="str">
        <x:v>步骤观察、实际结果、证据文件与清理核对</x:v>
      </x:c>
      <x:c r="L243" s="4" t="str">
        <x:v>API/协议自动化；关联UI结果</x:v>
      </x:c>
      <x:c r="M243" s="4" t="str">
        <x:v>受影响模块回归</x:v>
      </x:c>
      <x:c r="N243" s="4" t="str">
        <x:v>每个注册路由按能力及影响单独准入</x:v>
      </x:c>
      <x:c r="O243" s="4" t="str">
        <x:v>src/api/ApiRouter.cc；src/api/ApiRouterRoutes.cc；docs/reference/api-fields.md；test/test_api_router.cc</x:v>
      </x:c>
      <x:c r="P243" s="4" t="str">
        <x:v>未执行</x:v>
      </x:c>
      <x:c r="Q243" s="19" t="str"/>
      <x:c r="R243" s="12" t="str"/>
      <x:c r="S243" s="12" t="str"/>
      <x:c r="T243" s="4" t="n">
        <x:v>1</x:v>
      </x:c>
      <x:c r="U243" s="4" t="str">
        <x:v>DUT；GENERATED-FIXTURES</x:v>
      </x:c>
      <x:c r="V243" s="4" t="str">
        <x:v>codex-script-and-evidence</x:v>
      </x:c>
      <x:c r="W243" s="4" t="str"/>
      <x:c r="X243" s="4" t="str"/>
      <x:c r="Y243" s="4" t="str"/>
      <x:c r="Z243" s="4" t="str"/>
      <x:c r="AA243" s="4" t="str"/>
      <x:c r="AB243" s="4" t="str"/>
      <x:c r="AC243" s="4" t="str"/>
    </x:row>
    <x:row r="244" ht="53" customHeight="1">
      <x:c r="A244" s="17" t="str">
        <x:v>API-006</x:v>
      </x:c>
      <x:c r="B244" s="17" t="str">
        <x:v>J12</x:v>
      </x:c>
      <x:c r="C244" s="17" t="str">
        <x:v>接口契约与隔离安全</x:v>
      </x:c>
      <x:c r="D244" s="17" t="str">
        <x:v>P1</x:v>
      </x:c>
      <x:c r="E244" s="17" t="str">
        <x:v>只读诊断与资源泄露</x:v>
      </x:c>
      <x:c r="F244" s="17" t="str">
        <x:v>API补充验证，不能替代UI客户操作；高影响接口仅隔离执行</x:v>
      </x:c>
      <x:c r="G244" s="17" t="str">
        <x:v>隔离实例；schema；合法与无效请求夹具</x:v>
      </x:c>
      <x:c r="H244" s="17" t="str">
        <x:v>1. 查询ViewRoutes/Info/任务状态/日志
2. 授权对照
3. 连续查询</x:v>
      </x:c>
      <x:c r="I244" s="17" t="str">
        <x:v>仅授权可见预期信息；无凭据和宿主秘密；请求后无持续增长资源。</x:v>
      </x:c>
      <x:c r="J244" s="17" t="str">
        <x:v>清理接口创建的本轮对象和会话；恢复配置</x:v>
      </x:c>
      <x:c r="K244" s="17" t="str">
        <x:v>步骤观察、实际结果、证据文件与清理核对</x:v>
      </x:c>
      <x:c r="L244" s="17" t="str">
        <x:v>API/协议自动化；关联UI结果</x:v>
      </x:c>
      <x:c r="M244" s="17" t="str">
        <x:v>受影响模块回归</x:v>
      </x:c>
      <x:c r="N244" s="17" t="str">
        <x:v>每个注册路由按能力及影响单独准入</x:v>
      </x:c>
      <x:c r="O244" s="17" t="str">
        <x:v>src/api/ApiRouter.cc；src/api/ApiRouterRoutes.cc；docs/reference/api-fields.md；test/test_api_router.cc</x:v>
      </x:c>
      <x:c r="P244" s="17" t="str">
        <x:v>未执行</x:v>
      </x:c>
      <x:c r="Q244" s="19" t="str"/>
      <x:c r="R244" s="17" t="str"/>
      <x:c r="S244" s="17" t="str"/>
      <x:c r="T244" s="17" t="n">
        <x:v>1</x:v>
      </x:c>
      <x:c r="U244" s="17" t="str">
        <x:v>DUT；GENERATED-FIXTURES</x:v>
      </x:c>
      <x:c r="V244" s="17" t="str">
        <x:v>codex-script-and-evidence</x:v>
      </x:c>
      <x:c r="W244" s="17" t="str"/>
      <x:c r="X244" s="17" t="str"/>
      <x:c r="Y244" s="17" t="str"/>
      <x:c r="Z244" s="17" t="str"/>
      <x:c r="AA244" s="17" t="str"/>
      <x:c r="AB244" s="17" t="str"/>
      <x:c r="AC244" s="17" t="str"/>
    </x:row>
    <x:row r="245" ht="53" customHeight="1">
      <x:c r="A245" s="4" t="str">
        <x:v>API-007</x:v>
      </x:c>
      <x:c r="B245" s="4" t="str">
        <x:v>J12</x:v>
      </x:c>
      <x:c r="C245" s="4" t="str">
        <x:v>接口契约与隔离安全</x:v>
      </x:c>
      <x:c r="D245" s="4" t="str">
        <x:v>P0</x:v>
      </x:c>
      <x:c r="E245" s="4" t="str">
        <x:v>前端API与注册表差异</x:v>
      </x:c>
      <x:c r="F245" s="4" t="str">
        <x:v>API补充验证，不能替代UI客户操作；高影响接口仅隔离执行；包括event/delete、task/recaptureImage和videoDevice/channel/detail声明</x:v>
      </x:c>
      <x:c r="G245" s="4" t="str">
        <x:v>隔离实例；schema；合法与无效请求夹具</x:v>
      </x:c>
      <x:c r="H245" s="4" t="str">
        <x:v>1. 比对前端调用、可见入口与后端注册
2. 对实际被调用项复现
3. 记录缺陷或废弃说明</x:v>
      </x:c>
      <x:c r="I245" s="4" t="str">
        <x:v>未知路由不能被自动视为已实现；差异逐项有处置，不计假通过。</x:v>
      </x:c>
      <x:c r="J245" s="4" t="str">
        <x:v>清理接口创建的本轮对象和会话；恢复配置</x:v>
      </x:c>
      <x:c r="K245" s="4" t="str">
        <x:v>步骤观察、实际结果、证据文件与清理核对</x:v>
      </x:c>
      <x:c r="L245" s="4" t="str">
        <x:v>API/协议自动化；关联UI结果</x:v>
      </x:c>
      <x:c r="M245" s="4" t="str">
        <x:v>受影响模块回归</x:v>
      </x:c>
      <x:c r="N245" s="4" t="str">
        <x:v>每个注册路由按能力及影响单独准入</x:v>
      </x:c>
      <x:c r="O245" s="4" t="str">
        <x:v>src/api/ApiRouter.cc；src/api/ApiRouterRoutes.cc；docs/reference/api-fields.md；test/test_api_router.cc</x:v>
      </x:c>
      <x:c r="P245" s="4" t="str">
        <x:v>未执行</x:v>
      </x:c>
      <x:c r="Q245" s="19" t="str"/>
      <x:c r="R245" s="12" t="str"/>
      <x:c r="S245" s="12" t="str"/>
      <x:c r="T245" s="4" t="n">
        <x:v>1</x:v>
      </x:c>
      <x:c r="U245" s="4" t="str">
        <x:v>DUT；GENERATED-FIXTURES</x:v>
      </x:c>
      <x:c r="V245" s="4" t="str">
        <x:v>codex-script-and-evidence</x:v>
      </x:c>
      <x:c r="W245" s="4" t="str"/>
      <x:c r="X245" s="4" t="str"/>
      <x:c r="Y245" s="4" t="str"/>
      <x:c r="Z245" s="4" t="str"/>
      <x:c r="AA245" s="4" t="str"/>
      <x:c r="AB245" s="4" t="str"/>
      <x:c r="AC245" s="4" t="str"/>
    </x:row>
    <x:row r="246" ht="53" customHeight="1">
      <x:c r="A246" s="17" t="str">
        <x:v>API-008</x:v>
      </x:c>
      <x:c r="B246" s="17" t="str">
        <x:v>J12</x:v>
      </x:c>
      <x:c r="C246" s="17" t="str">
        <x:v>接口契约与隔离安全</x:v>
      </x:c>
      <x:c r="D246" s="17" t="str">
        <x:v>P0</x:v>
      </x:c>
      <x:c r="E246" s="17" t="str">
        <x:v>长文本脚本和命令注入边界</x:v>
      </x:c>
      <x:c r="F246" s="17" t="str">
        <x:v>API补充验证，不能替代UI客户操作；高影响接口仅隔离执行；无害字符串夹具，仅隔离实例</x:v>
      </x:c>
      <x:c r="G246" s="17" t="str">
        <x:v>隔离实例；schema；合法与无效请求夹具</x:v>
      </x:c>
      <x:c r="H246" s="17" t="str">
        <x:v>1. 在名称URL日志搜索等输入特殊字符
2. 保存显示导出
3. 查询原数据</x:v>
      </x:c>
      <x:c r="I246" s="17" t="str">
        <x:v>文本按文本展示；无脚本执行和命令副作用；无路径外读写；原数据完整。</x:v>
      </x:c>
      <x:c r="J246" s="17" t="str">
        <x:v>清理接口创建的本轮对象和会话；恢复配置</x:v>
      </x:c>
      <x:c r="K246" s="17" t="str">
        <x:v>步骤观察、实际结果、证据文件与清理核对</x:v>
      </x:c>
      <x:c r="L246" s="17" t="str">
        <x:v>API/协议自动化；关联UI结果</x:v>
      </x:c>
      <x:c r="M246" s="17" t="str">
        <x:v>受影响模块回归</x:v>
      </x:c>
      <x:c r="N246" s="17" t="str">
        <x:v>每个注册路由按能力及影响单独准入</x:v>
      </x:c>
      <x:c r="O246" s="17" t="str">
        <x:v>src/api/ApiRouter.cc；src/api/ApiRouterRoutes.cc；docs/reference/api-fields.md；test/test_api_router.cc</x:v>
      </x:c>
      <x:c r="P246" s="17" t="str">
        <x:v>未执行</x:v>
      </x:c>
      <x:c r="Q246" s="19" t="str"/>
      <x:c r="R246" s="17" t="str"/>
      <x:c r="S246" s="17" t="str"/>
      <x:c r="T246" s="17" t="n">
        <x:v>1</x:v>
      </x:c>
      <x:c r="U246" s="17" t="str">
        <x:v>DUT；GENERATED-FIXTURES</x:v>
      </x:c>
      <x:c r="V246" s="17" t="str">
        <x:v>codex-script-and-evidence</x:v>
      </x:c>
      <x:c r="W246" s="17" t="str"/>
      <x:c r="X246" s="17" t="str"/>
      <x:c r="Y246" s="17" t="str"/>
      <x:c r="Z246" s="17" t="str"/>
      <x:c r="AA246" s="17" t="str"/>
      <x:c r="AB246" s="17" t="str"/>
      <x:c r="AC246" s="17" t="str"/>
    </x:row>
    <x:row r="247" ht="53" customHeight="1">
      <x:c r="A247" s="4" t="str">
        <x:v>ACC-001</x:v>
      </x:c>
      <x:c r="B247" s="4" t="str">
        <x:v>J12</x:v>
      </x:c>
      <x:c r="C247" s="4" t="str">
        <x:v>精度与样本表现</x:v>
      </x:c>
      <x:c r="D247" s="4" t="str">
        <x:v>P0</x:v>
      </x:c>
      <x:c r="E247" s="4" t="str">
        <x:v>现有run_precision脚本审阅</x:v>
      </x:c>
      <x:c r="F247" s="4" t="str">
        <x:v>冻结样本哈希模型配置阈值和版本；不把旧脚本行为当已读事实；提供脚本及suite/README/一份脱敏报告或服务器只读访问方式</x:v>
      </x:c>
      <x:c r="G247" s="4" t="str">
        <x:v>PRECISION-SERVER脚本内容待补；正负困难样本与真值</x:v>
      </x:c>
      <x:c r="H247" s="4" t="str">
        <x:v>1. 阅读脚本及参数定义
2. 追踪样本来源标签输出和清理
3. 与现用工具差异对照</x:v>
      </x:c>
      <x:c r="I247" s="4" t="str">
        <x:v>明确999采样是否封顶/全量、fresh是否清理、max-fail提前停止和退出码语义；未读不直接执行。</x:v>
      </x:c>
      <x:c r="J247" s="4" t="str">
        <x:v>严格删除本轮任务通道；保留原始失败结果及冷却记录</x:v>
      </x:c>
      <x:c r="K247" s="4" t="str">
        <x:v>步骤观察、实际结果、证据文件与清理核对</x:v>
      </x:c>
      <x:c r="L247" s="4" t="str">
        <x:v>脚本＋人工真值复核；UI复现代表失败</x:v>
      </x:c>
      <x:c r="M247" s="4" t="str">
        <x:v>受影响模块回归</x:v>
      </x:c>
      <x:c r="N247" s="4" t="str">
        <x:v>目标设备具备该能力</x:v>
      </x:c>
      <x:c r="O247" s="4" t="str">
        <x:v>docs/guide/accuracy-evaluation.md；docs/guide/offline-accuracy-acceptance.md；tools/scenario-bench</x:v>
      </x:c>
      <x:c r="P247" s="4" t="str">
        <x:v>未执行</x:v>
      </x:c>
      <x:c r="Q247" s="19" t="str"/>
      <x:c r="R247" s="12" t="str"/>
      <x:c r="S247" s="12" t="str"/>
      <x:c r="T247" s="4" t="n">
        <x:v>1</x:v>
      </x:c>
      <x:c r="U247" s="4" t="str">
        <x:v>DUT；PRECISION-SERVER</x:v>
      </x:c>
      <x:c r="V247" s="4" t="str">
        <x:v>codex-script-and-evidence</x:v>
      </x:c>
      <x:c r="W247" s="4" t="str"/>
      <x:c r="X247" s="4" t="str"/>
      <x:c r="Y247" s="4" t="str"/>
      <x:c r="Z247" s="4" t="str"/>
      <x:c r="AA247" s="4" t="str"/>
      <x:c r="AB247" s="4" t="str"/>
      <x:c r="AC247" s="4" t="str"/>
    </x:row>
    <x:row r="248" ht="53" customHeight="1">
      <x:c r="A248" s="17" t="str">
        <x:v>ACC-002</x:v>
      </x:c>
      <x:c r="B248" s="17" t="str">
        <x:v>J12</x:v>
      </x:c>
      <x:c r="C248" s="17" t="str">
        <x:v>精度与样本表现</x:v>
      </x:c>
      <x:c r="D248" s="17" t="str">
        <x:v>P0</x:v>
      </x:c>
      <x:c r="E248" s="17" t="str">
        <x:v>正检和误检样本级指标</x:v>
      </x:c>
      <x:c r="F248" s="17" t="str">
        <x:v>冻结样本哈希模型配置阈值和版本；不把旧脚本行为当已读事实；每场景明确minEvents/maxEvents</x:v>
      </x:c>
      <x:c r="G248" s="17" t="str">
        <x:v>PRECISION-SERVER脚本内容待补；正负困难样本与真值</x:v>
      </x:c>
      <x:c r="H248" s="17" t="str">
        <x:v>1. 跑冻结样本
2. 等待解码推理计数前进
3. 按通道算法时间查落库事件并去重</x:v>
      </x:c>
      <x:c r="I248" s="17" t="str">
        <x:v>有效PASS/FAIL入分母；ERROR/未执行单列；正检命中率和误检无告警率不称Precision/Recall/mAP。</x:v>
      </x:c>
      <x:c r="J248" s="17" t="str">
        <x:v>严格删除本轮任务通道；保留原始失败结果及冷却记录</x:v>
      </x:c>
      <x:c r="K248" s="17" t="str">
        <x:v>步骤观察、实际结果、证据文件与清理核对</x:v>
      </x:c>
      <x:c r="L248" s="17" t="str">
        <x:v>脚本＋人工真值复核；UI复现代表失败</x:v>
      </x:c>
      <x:c r="M248" s="17" t="str">
        <x:v>受影响模块回归</x:v>
      </x:c>
      <x:c r="N248" s="17" t="str">
        <x:v>目标设备具备该能力</x:v>
      </x:c>
      <x:c r="O248" s="17" t="str">
        <x:v>docs/guide/accuracy-evaluation.md；docs/guide/offline-accuracy-acceptance.md；tools/scenario-bench</x:v>
      </x:c>
      <x:c r="P248" s="17" t="str">
        <x:v>未执行</x:v>
      </x:c>
      <x:c r="Q248" s="19" t="str"/>
      <x:c r="R248" s="17" t="str"/>
      <x:c r="S248" s="17" t="str"/>
      <x:c r="T248" s="17" t="n">
        <x:v>1</x:v>
      </x:c>
      <x:c r="U248" s="17" t="str">
        <x:v>DUT；PRECISION-SERVER；ACCEPTANCE</x:v>
      </x:c>
      <x:c r="V248" s="17" t="str">
        <x:v>codex-script-and-evidence</x:v>
      </x:c>
      <x:c r="W248" s="17" t="str"/>
      <x:c r="X248" s="17" t="str"/>
      <x:c r="Y248" s="17" t="str"/>
      <x:c r="Z248" s="17" t="str"/>
      <x:c r="AA248" s="17" t="str"/>
      <x:c r="AB248" s="17" t="str"/>
      <x:c r="AC248" s="17" t="str"/>
    </x:row>
    <x:row r="249" ht="53" customHeight="1">
      <x:c r="A249" s="4" t="str">
        <x:v>ACC-003</x:v>
      </x:c>
      <x:c r="B249" s="4" t="str">
        <x:v>J12</x:v>
      </x:c>
      <x:c r="C249" s="4" t="str">
        <x:v>精度与样本表现</x:v>
      </x:c>
      <x:c r="D249" s="4" t="str">
        <x:v>P0</x:v>
      </x:c>
      <x:c r="E249" s="4" t="str">
        <x:v>收集窗口与迟到事件</x:v>
      </x:c>
      <x:c r="F249" s="4" t="str">
        <x:v>冻结样本哈希模型配置阈值和版本；不把旧脚本行为当已读事实；先核实用户collect参数语义</x:v>
      </x:c>
      <x:c r="G249" s="4" t="str">
        <x:v>PRECISION-SERVER脚本内容待补；正负困难样本与真值</x:v>
      </x:c>
      <x:c r="H249" s="4" t="str">
        <x:v>1. 记录启动暖机和窗口
2. 停任务后分页收集直至事件ID集合收敛
3. 对比45秒起点方案</x:v>
      </x:c>
      <x:c r="I249" s="4" t="str">
        <x:v>不漏迟到事件；旧任务事件不污染；45秒仅用户提供的待核实参数，非统一验收时长。</x:v>
      </x:c>
      <x:c r="J249" s="4" t="str">
        <x:v>严格删除本轮任务通道；保留原始失败结果及冷却记录</x:v>
      </x:c>
      <x:c r="K249" s="4" t="str">
        <x:v>步骤观察、实际结果、证据文件与清理核对</x:v>
      </x:c>
      <x:c r="L249" s="4" t="str">
        <x:v>脚本＋人工真值复核；UI复现代表失败</x:v>
      </x:c>
      <x:c r="M249" s="4" t="str">
        <x:v>受影响模块回归</x:v>
      </x:c>
      <x:c r="N249" s="4" t="str">
        <x:v>目标设备具备该能力</x:v>
      </x:c>
      <x:c r="O249" s="4" t="str">
        <x:v>docs/guide/accuracy-evaluation.md；docs/guide/offline-accuracy-acceptance.md；tools/scenario-bench</x:v>
      </x:c>
      <x:c r="P249" s="4" t="str">
        <x:v>未执行</x:v>
      </x:c>
      <x:c r="Q249" s="19" t="str"/>
      <x:c r="R249" s="12" t="str"/>
      <x:c r="S249" s="12" t="str"/>
      <x:c r="T249" s="4" t="n">
        <x:v>1</x:v>
      </x:c>
      <x:c r="U249" s="4" t="str">
        <x:v>DUT；PRECISION-SERVER</x:v>
      </x:c>
      <x:c r="V249" s="4" t="str">
        <x:v>codex-script-and-evidence</x:v>
      </x:c>
      <x:c r="W249" s="4" t="str"/>
      <x:c r="X249" s="4" t="str"/>
      <x:c r="Y249" s="4" t="str"/>
      <x:c r="Z249" s="4" t="str"/>
      <x:c r="AA249" s="4" t="str"/>
      <x:c r="AB249" s="4" t="str"/>
      <x:c r="AC249" s="4" t="str"/>
    </x:row>
    <x:row r="250" ht="53" customHeight="1">
      <x:c r="A250" s="17" t="str">
        <x:v>ACC-004</x:v>
      </x:c>
      <x:c r="B250" s="17" t="str">
        <x:v>J12</x:v>
      </x:c>
      <x:c r="C250" s="17" t="str">
        <x:v>精度与样本表现</x:v>
      </x:c>
      <x:c r="D250" s="17" t="str">
        <x:v>P1</x:v>
      </x:c>
      <x:c r="E250" s="17" t="str">
        <x:v>并发与冷却影响</x:v>
      </x:c>
      <x:c r="F250" s="17" t="str">
        <x:v>冻结样本哈希模型配置阈值和版本；不把旧脚本行为当已读事实；已核实脚本jobs/cooldown</x:v>
      </x:c>
      <x:c r="G250" s="17" t="str">
        <x:v>PRECISION-SERVER脚本内容待补；正负困难样本与真值</x:v>
      </x:c>
      <x:c r="H250" s="17" t="str">
        <x:v>1. 同样本先串行再并发1/2/4对照
2. 记录负载温度处理计数
3. 按策略冷却</x:v>
      </x:c>
      <x:c r="I250" s="17" t="str">
        <x:v>超时资源失败与算法漏报分开；并发4不是设备容量承诺；VLM按能力优先串行。</x:v>
      </x:c>
      <x:c r="J250" s="17" t="str">
        <x:v>严格删除本轮任务通道；保留原始失败结果及冷却记录</x:v>
      </x:c>
      <x:c r="K250" s="17" t="str">
        <x:v>步骤观察、实际结果、证据文件与清理核对</x:v>
      </x:c>
      <x:c r="L250" s="17" t="str">
        <x:v>脚本＋人工真值复核；UI复现代表失败</x:v>
      </x:c>
      <x:c r="M250" s="17" t="str">
        <x:v>受影响模块回归</x:v>
      </x:c>
      <x:c r="N250" s="17" t="str">
        <x:v>目标设备具备该能力</x:v>
      </x:c>
      <x:c r="O250" s="17" t="str">
        <x:v>docs/guide/accuracy-evaluation.md；docs/guide/offline-accuracy-acceptance.md；tools/scenario-bench</x:v>
      </x:c>
      <x:c r="P250" s="17" t="str">
        <x:v>未执行</x:v>
      </x:c>
      <x:c r="Q250" s="19" t="str"/>
      <x:c r="R250" s="17" t="str"/>
      <x:c r="S250" s="17" t="str"/>
      <x:c r="T250" s="17" t="n">
        <x:v>1</x:v>
      </x:c>
      <x:c r="U250" s="17" t="str">
        <x:v>DUT；PRECISION-SERVER</x:v>
      </x:c>
      <x:c r="V250" s="17" t="str">
        <x:v>codex-script-and-evidence</x:v>
      </x:c>
      <x:c r="W250" s="17" t="str"/>
      <x:c r="X250" s="17" t="str"/>
      <x:c r="Y250" s="17" t="str"/>
      <x:c r="Z250" s="17" t="str"/>
      <x:c r="AA250" s="17" t="str"/>
      <x:c r="AB250" s="17" t="str"/>
      <x:c r="AC250" s="17" t="str"/>
    </x:row>
    <x:row r="251" ht="53" customHeight="1">
      <x:c r="A251" s="4" t="str">
        <x:v>ACC-005</x:v>
      </x:c>
      <x:c r="B251" s="4" t="str">
        <x:v>J12</x:v>
      </x:c>
      <x:c r="C251" s="4" t="str">
        <x:v>精度与样本表现</x:v>
      </x:c>
      <x:c r="D251" s="4" t="str">
        <x:v>P0</x:v>
      </x:c>
      <x:c r="E251" s="4" t="str">
        <x:v>有标注的帧级检测和识别</x:v>
      </x:c>
      <x:c r="F251" s="4" t="str">
        <x:v>冻结样本哈希模型配置阈值和版本；不把旧脚本行为当已读事实；独立标注框、类别、匿名身份与匹配规则</x:v>
      </x:c>
      <x:c r="G251" s="4" t="str">
        <x:v>PRECISION-SERVER脚本内容待补；正负困难样本与真值</x:v>
      </x:c>
      <x:c r="H251" s="4" t="str">
        <x:v>1. 固定IoU置信度与一对一匹配
2. 对预测和真值统计TP/FP/FN
3. 生成人脸错认漏认</x:v>
      </x:c>
      <x:c r="I251" s="4" t="str">
        <x:v>仅具备真值时计算Precision/Recall/F1或mAP；人脸指标明确分母，不能用截图肉眼替代。</x:v>
      </x:c>
      <x:c r="J251" s="4" t="str">
        <x:v>严格删除本轮任务通道；保留原始失败结果及冷却记录</x:v>
      </x:c>
      <x:c r="K251" s="4" t="str">
        <x:v>步骤观察、实际结果、证据文件与清理核对</x:v>
      </x:c>
      <x:c r="L251" s="4" t="str">
        <x:v>脚本＋人工真值复核；UI复现代表失败</x:v>
      </x:c>
      <x:c r="M251" s="4" t="str">
        <x:v>受影响模块回归</x:v>
      </x:c>
      <x:c r="N251" s="4" t="str">
        <x:v>目标设备具备该能力</x:v>
      </x:c>
      <x:c r="O251" s="4" t="str">
        <x:v>docs/guide/accuracy-evaluation.md；docs/guide/offline-accuracy-acceptance.md；tools/scenario-bench</x:v>
      </x:c>
      <x:c r="P251" s="4" t="str">
        <x:v>未执行</x:v>
      </x:c>
      <x:c r="Q251" s="19" t="str"/>
      <x:c r="R251" s="12" t="str"/>
      <x:c r="S251" s="12" t="str"/>
      <x:c r="T251" s="4" t="n">
        <x:v>1</x:v>
      </x:c>
      <x:c r="U251" s="4" t="str">
        <x:v>DUT；PRECISION-SERVER；FACE-TRUTH；UNIFORM-TRUTH；SCENARIO-TRUTH；ACCEPTANCE</x:v>
      </x:c>
      <x:c r="V251" s="4" t="str">
        <x:v>codex-script-and-evidence</x:v>
      </x:c>
      <x:c r="W251" s="4" t="str"/>
      <x:c r="X251" s="4" t="str"/>
      <x:c r="Y251" s="4" t="str"/>
      <x:c r="Z251" s="4" t="str"/>
      <x:c r="AA251" s="4" t="str"/>
      <x:c r="AB251" s="4" t="str"/>
      <x:c r="AC251" s="4" t="str"/>
    </x:row>
    <x:row r="252" ht="53" customHeight="1">
      <x:c r="A252" s="17" t="str">
        <x:v>ACC-006</x:v>
      </x:c>
      <x:c r="B252" s="17" t="str">
        <x:v>J12</x:v>
      </x:c>
      <x:c r="C252" s="17" t="str">
        <x:v>精度与样本表现</x:v>
      </x:c>
      <x:c r="D252" s="17" t="str">
        <x:v>P1</x:v>
      </x:c>
      <x:c r="E252" s="17" t="str">
        <x:v>参考与候选离线对比</x:v>
      </x:c>
      <x:c r="F252" s="17" t="str">
        <x:v>冻结样本哈希模型配置阈值和版本；不把旧脚本行为当已读事实；两套同样本同预后处理JSONL</x:v>
      </x:c>
      <x:c r="G252" s="17" t="str">
        <x:v>PRECISION-SERVER脚本内容待补；正负困难样本与真值</x:v>
      </x:c>
      <x:c r="H252" s="17" t="str">
        <x:v>1. 生成manifest含哈希
2. 执行offline_accuracy_compare
3. 人工复核差异</x:v>
      </x:c>
      <x:c r="I252" s="17" t="str">
        <x:v>工程一致性与业务精度分开；工具默认门禁仅适用于该对比；缺样本/hash漂移属于无效证据。</x:v>
      </x:c>
      <x:c r="J252" s="17" t="str">
        <x:v>严格删除本轮任务通道；保留原始失败结果及冷却记录</x:v>
      </x:c>
      <x:c r="K252" s="17" t="str">
        <x:v>步骤观察、实际结果、证据文件与清理核对</x:v>
      </x:c>
      <x:c r="L252" s="17" t="str">
        <x:v>脚本＋人工真值复核；UI复现代表失败</x:v>
      </x:c>
      <x:c r="M252" s="17" t="str">
        <x:v>受影响模块回归</x:v>
      </x:c>
      <x:c r="N252" s="17" t="str">
        <x:v>目标设备具备该能力</x:v>
      </x:c>
      <x:c r="O252" s="17" t="str">
        <x:v>docs/guide/accuracy-evaluation.md；docs/guide/offline-accuracy-acceptance.md；tools/scenario-bench</x:v>
      </x:c>
      <x:c r="P252" s="17" t="str">
        <x:v>未执行</x:v>
      </x:c>
      <x:c r="Q252" s="19" t="str"/>
      <x:c r="R252" s="17" t="str"/>
      <x:c r="S252" s="17" t="str"/>
      <x:c r="T252" s="17" t="n">
        <x:v>1</x:v>
      </x:c>
      <x:c r="U252" s="17" t="str">
        <x:v>DUT；PRECISION-SERVER；ROLLBACK-PACKAGE；UPGRADE-PACKAGE；ACCEPTANCE</x:v>
      </x:c>
      <x:c r="V252" s="17" t="str">
        <x:v>codex-script-and-evidence</x:v>
      </x:c>
      <x:c r="W252" s="17" t="str"/>
      <x:c r="X252" s="17" t="str"/>
      <x:c r="Y252" s="17" t="str"/>
      <x:c r="Z252" s="17" t="str"/>
      <x:c r="AA252" s="17" t="str"/>
      <x:c r="AB252" s="17" t="str"/>
      <x:c r="AC252" s="17" t="str"/>
    </x:row>
    <x:row r="253" ht="53" customHeight="1">
      <x:c r="A253" s="4" t="str">
        <x:v>ACC-007</x:v>
      </x:c>
      <x:c r="B253" s="4" t="str">
        <x:v>J12</x:v>
      </x:c>
      <x:c r="C253" s="4" t="str">
        <x:v>精度与样本表现</x:v>
      </x:c>
      <x:c r="D253" s="4" t="str">
        <x:v>P0</x:v>
      </x:c>
      <x:c r="E253" s="4" t="str">
        <x:v>调参集与验收集分离</x:v>
      </x:c>
      <x:c r="F253" s="4" t="str">
        <x:v>冻结样本哈希模型配置阈值和版本；不把旧脚本行为当已读事实；已标注样本清单</x:v>
      </x:c>
      <x:c r="G253" s="4" t="str">
        <x:v>PRECISION-SERVER脚本内容待补；正负困难样本与真值</x:v>
      </x:c>
      <x:c r="H253" s="4" t="str">
        <x:v>1. 按人/拍摄会话或视频来源隔离集合
2. 仅调参集选阈值
3. 冻结后评估验收集</x:v>
      </x:c>
      <x:c r="I253" s="4" t="str">
        <x:v>同一人同场连续帧不泄漏进两个集合；报告真实样本数和类别切片，保留所有失败。</x:v>
      </x:c>
      <x:c r="J253" s="4" t="str">
        <x:v>严格删除本轮任务通道；保留原始失败结果及冷却记录</x:v>
      </x:c>
      <x:c r="K253" s="4" t="str">
        <x:v>步骤观察、实际结果、证据文件与清理核对</x:v>
      </x:c>
      <x:c r="L253" s="4" t="str">
        <x:v>脚本＋人工真值复核；UI复现代表失败</x:v>
      </x:c>
      <x:c r="M253" s="4" t="str">
        <x:v>受影响模块回归</x:v>
      </x:c>
      <x:c r="N253" s="4" t="str">
        <x:v>目标设备具备该能力</x:v>
      </x:c>
      <x:c r="O253" s="4" t="str">
        <x:v>docs/guide/accuracy-evaluation.md；docs/guide/offline-accuracy-acceptance.md；tools/scenario-bench</x:v>
      </x:c>
      <x:c r="P253" s="4" t="str">
        <x:v>未执行</x:v>
      </x:c>
      <x:c r="Q253" s="19" t="str"/>
      <x:c r="R253" s="12" t="str"/>
      <x:c r="S253" s="12" t="str"/>
      <x:c r="T253" s="4" t="n">
        <x:v>1</x:v>
      </x:c>
      <x:c r="U253" s="4" t="str">
        <x:v>DUT；PRECISION-SERVER</x:v>
      </x:c>
      <x:c r="V253" s="4" t="str">
        <x:v>codex-script-and-evidence</x:v>
      </x:c>
      <x:c r="W253" s="4" t="str"/>
      <x:c r="X253" s="4" t="str"/>
      <x:c r="Y253" s="4" t="str"/>
      <x:c r="Z253" s="4" t="str"/>
      <x:c r="AA253" s="4" t="str"/>
      <x:c r="AB253" s="4" t="str"/>
      <x:c r="AC253" s="4" t="str"/>
    </x:row>
    <x:row r="254" ht="83" customHeight="1">
      <x:c r="A254" s="17" t="str">
        <x:v>ACC-008</x:v>
      </x:c>
      <x:c r="B254" s="17" t="str">
        <x:v>J12</x:v>
      </x:c>
      <x:c r="C254" s="17" t="str">
        <x:v>精度与样本表现</x:v>
      </x:c>
      <x:c r="D254" s="17" t="str">
        <x:v>P0</x:v>
      </x:c>
      <x:c r="E254" s="17" t="str">
        <x:v>中断续跑与提前失败保留</x:v>
      </x:c>
      <x:c r="F254" s="17" t="str">
        <x:v>冻结样本哈希模型配置阈值和版本；不把旧脚本行为当已读事实；隔离套件和已核实fresh行为</x:v>
      </x:c>
      <x:c r="G254" s="17" t="str">
        <x:v>PRECISION-SERVER脚本内容待补；正负困难样本与真值</x:v>
      </x:c>
      <x:c r="H254" s="17" t="str">
        <x:v>1. 中途停止
2. 读取断点恢复
3. 触发max-fail停止
4. 汇总未执行
5. 核验清理</x:v>
      </x:c>
      <x:c r="I254" s="17" t="str">
        <x:v>失败不被重试洗掉；提前结束不能显示全量通过；恢复不重复计数；清理失败单列ERROR。</x:v>
      </x:c>
      <x:c r="J254" s="17" t="str">
        <x:v>严格删除本轮任务通道；保留原始失败结果及冷却记录</x:v>
      </x:c>
      <x:c r="K254" s="17" t="str">
        <x:v>步骤观察、实际结果、证据文件与清理核对</x:v>
      </x:c>
      <x:c r="L254" s="17" t="str">
        <x:v>脚本＋人工真值复核；UI复现代表失败</x:v>
      </x:c>
      <x:c r="M254" s="17" t="str">
        <x:v>受影响模块回归</x:v>
      </x:c>
      <x:c r="N254" s="17" t="str">
        <x:v>目标设备具备该能力</x:v>
      </x:c>
      <x:c r="O254" s="17" t="str">
        <x:v>docs/guide/accuracy-evaluation.md；docs/guide/offline-accuracy-acceptance.md；tools/scenario-bench</x:v>
      </x:c>
      <x:c r="P254" s="17" t="str">
        <x:v>未执行</x:v>
      </x:c>
      <x:c r="Q254" s="19" t="str"/>
      <x:c r="R254" s="17" t="str"/>
      <x:c r="S254" s="17" t="str"/>
      <x:c r="T254" s="17" t="n">
        <x:v>1</x:v>
      </x:c>
      <x:c r="U254" s="17" t="str">
        <x:v>DUT；PRECISION-SERVER</x:v>
      </x:c>
      <x:c r="V254" s="17" t="str">
        <x:v>codex-script-and-evidence</x:v>
      </x:c>
      <x:c r="W254" s="17" t="str"/>
      <x:c r="X254" s="17" t="str"/>
      <x:c r="Y254" s="17" t="str"/>
      <x:c r="Z254" s="17" t="str"/>
      <x:c r="AA254" s="17" t="str"/>
      <x:c r="AB254" s="17" t="str"/>
      <x:c r="AC254" s="17" t="str"/>
    </x:row>
    <x:row r="255" ht="68" customHeight="1">
      <x:c r="A255" s="4" t="str">
        <x:v>PERF-001</x:v>
      </x:c>
      <x:c r="B255" s="4" t="str">
        <x:v>J12</x:v>
      </x:c>
      <x:c r="C255" s="4" t="str">
        <x:v>容量稳定性与异常恢复</x:v>
      </x:c>
      <x:c r="D255" s="4" t="str">
        <x:v>P0</x:v>
      </x:c>
      <x:c r="E255" s="4" t="str">
        <x:v>多路阶梯容量</x:v>
      </x:c>
      <x:c r="F255" s="4" t="str">
        <x:v>业务基线通过；容量和停止门限经评审冻结</x:v>
      </x:c>
      <x:c r="G255" s="4" t="str">
        <x:v>DUT；四摄像机与NVR四路；固定离线流</x:v>
      </x:c>
      <x:c r="H255" s="4" t="str">
        <x:v>1. 固定模型码流参数
2. 逐级1/2/4/实际可用路数加负载
3. 每级稳态采样
4. 记录首失败</x:v>
      </x:c>
      <x:c r="I255" s="4" t="str">
        <x:v>给出最后满足门限点和首失败原因；4摄像机+4NVR是逻辑路数，不假定8个独立物理源。</x:v>
      </x:c>
      <x:c r="J255" s="4" t="str">
        <x:v>停本轮负载；恢复源配置；检查资源回落</x:v>
      </x:c>
      <x:c r="K255" s="4" t="str">
        <x:v>步骤观察、实际结果、证据文件与清理核对</x:v>
      </x:c>
      <x:c r="L255" s="4" t="str">
        <x:v>目标设备观测＋受控故障；业务UI复核</x:v>
      </x:c>
      <x:c r="M255" s="4" t="str">
        <x:v>受影响模块回归</x:v>
      </x:c>
      <x:c r="N255" s="4" t="str">
        <x:v>目标设备具备该能力</x:v>
      </x:c>
      <x:c r="O255" s="4" t="str">
        <x:v>docs/guide/scenario-benchmark-design.md；docs/guide/test-cases.md</x:v>
      </x:c>
      <x:c r="P255" s="4" t="str">
        <x:v>未执行</x:v>
      </x:c>
      <x:c r="Q255" s="19" t="str"/>
      <x:c r="R255" s="12" t="str"/>
      <x:c r="S255" s="12" t="str"/>
      <x:c r="T255" s="4" t="n">
        <x:v>1</x:v>
      </x:c>
      <x:c r="U255" s="4" t="str">
        <x:v>DUT；PRECISION-SERVER；ACCEPTANCE</x:v>
      </x:c>
      <x:c r="V255" s="4" t="str">
        <x:v>codex-script-and-evidence</x:v>
      </x:c>
      <x:c r="W255" s="4" t="str"/>
      <x:c r="X255" s="4" t="str"/>
      <x:c r="Y255" s="4" t="str"/>
      <x:c r="Z255" s="4" t="str"/>
      <x:c r="AA255" s="4" t="str"/>
      <x:c r="AB255" s="4" t="str"/>
      <x:c r="AC255" s="4" t="str"/>
    </x:row>
    <x:row r="256" ht="38" customHeight="1">
      <x:c r="A256" s="17" t="str">
        <x:v>PERF-002</x:v>
      </x:c>
      <x:c r="B256" s="17" t="str">
        <x:v>J12</x:v>
      </x:c>
      <x:c r="C256" s="17" t="str">
        <x:v>容量稳定性与异常恢复</x:v>
      </x:c>
      <x:c r="D256" s="17" t="str">
        <x:v>P1</x:v>
      </x:c>
      <x:c r="E256" s="17" t="str">
        <x:v>预览对容量的影响</x:v>
      </x:c>
      <x:c r="F256" s="17" t="str">
        <x:v>业务基线通过；容量和停止门限经评审冻结</x:v>
      </x:c>
      <x:c r="G256" s="17" t="str">
        <x:v>DUT；四摄像机与NVR四路；固定离线流</x:v>
      </x:c>
      <x:c r="H256" s="17" t="str">
        <x:v>1. 同负载分别无预览/单路/全部预览/同流多客户端
2. 对比处理率丢帧资源</x:v>
      </x:c>
      <x:c r="I256" s="17" t="str">
        <x:v>每种模式独立结果；不能混用不同预览条件宣称容量；推理和媒体FPS分开。</x:v>
      </x:c>
      <x:c r="J256" s="17" t="str">
        <x:v>停本轮负载；恢复源配置；检查资源回落</x:v>
      </x:c>
      <x:c r="K256" s="17" t="str">
        <x:v>步骤观察、实际结果、证据文件与清理核对</x:v>
      </x:c>
      <x:c r="L256" s="17" t="str">
        <x:v>目标设备观测＋受控故障；业务UI复核</x:v>
      </x:c>
      <x:c r="M256" s="17" t="str">
        <x:v>受影响模块回归</x:v>
      </x:c>
      <x:c r="N256" s="17" t="str">
        <x:v>目标设备具备该能力</x:v>
      </x:c>
      <x:c r="O256" s="17" t="str">
        <x:v>docs/guide/scenario-benchmark-design.md；docs/guide/test-cases.md</x:v>
      </x:c>
      <x:c r="P256" s="17" t="str">
        <x:v>未执行</x:v>
      </x:c>
      <x:c r="Q256" s="19" t="str"/>
      <x:c r="R256" s="17" t="str"/>
      <x:c r="S256" s="17" t="str"/>
      <x:c r="T256" s="17" t="n">
        <x:v>1</x:v>
      </x:c>
      <x:c r="U256" s="17" t="str">
        <x:v>DUT；PRECISION-SERVER；ACCEPTANCE</x:v>
      </x:c>
      <x:c r="V256" s="17" t="str">
        <x:v>codex-script-and-evidence</x:v>
      </x:c>
      <x:c r="W256" s="17" t="str"/>
      <x:c r="X256" s="17" t="str"/>
      <x:c r="Y256" s="17" t="str"/>
      <x:c r="Z256" s="17" t="str"/>
      <x:c r="AA256" s="17" t="str"/>
      <x:c r="AB256" s="17" t="str"/>
      <x:c r="AC256" s="17" t="str"/>
    </x:row>
    <x:row r="257" ht="68" customHeight="1">
      <x:c r="A257" s="4" t="str">
        <x:v>PERF-003</x:v>
      </x:c>
      <x:c r="B257" s="4" t="str">
        <x:v>J12</x:v>
      </x:c>
      <x:c r="C257" s="4" t="str">
        <x:v>容量稳定性与异常恢复</x:v>
      </x:c>
      <x:c r="D257" s="4" t="str">
        <x:v>P1</x:v>
      </x:c>
      <x:c r="E257" s="4" t="str">
        <x:v>同源多任务与异构负载</x:v>
      </x:c>
      <x:c r="F257" s="4" t="str">
        <x:v>业务基线通过；容量和停止门限经评审冻结；CV人脸工服和适用VLM模型</x:v>
      </x:c>
      <x:c r="G257" s="4" t="str">
        <x:v>DUT；四摄像机与NVR四路；固定离线流</x:v>
      </x:c>
      <x:c r="H257" s="4" t="str">
        <x:v>1. 同源挂多算法
2. 多源混合
3. 加一个图片任务
4. 观察资源调度</x:v>
      </x:c>
      <x:c r="I257" s="4" t="str">
        <x:v>无饥饿和持续积压；任务输出归属正确；慢模型失败不拖垮其他业务。</x:v>
      </x:c>
      <x:c r="J257" s="4" t="str">
        <x:v>停本轮负载；恢复源配置；检查资源回落</x:v>
      </x:c>
      <x:c r="K257" s="4" t="str">
        <x:v>步骤观察、实际结果、证据文件与清理核对</x:v>
      </x:c>
      <x:c r="L257" s="4" t="str">
        <x:v>目标设备观测＋受控故障；业务UI复核</x:v>
      </x:c>
      <x:c r="M257" s="4" t="str">
        <x:v>受影响模块回归</x:v>
      </x:c>
      <x:c r="N257" s="4" t="str">
        <x:v>目标设备具备该能力</x:v>
      </x:c>
      <x:c r="O257" s="4" t="str">
        <x:v>docs/guide/scenario-benchmark-design.md；docs/guide/test-cases.md</x:v>
      </x:c>
      <x:c r="P257" s="4" t="str">
        <x:v>未执行</x:v>
      </x:c>
      <x:c r="Q257" s="19" t="str"/>
      <x:c r="R257" s="12" t="str"/>
      <x:c r="S257" s="12" t="str"/>
      <x:c r="T257" s="4" t="n">
        <x:v>1</x:v>
      </x:c>
      <x:c r="U257" s="4" t="str">
        <x:v>DUT；PRECISION-SERVER；ACCEPTANCE</x:v>
      </x:c>
      <x:c r="V257" s="4" t="str">
        <x:v>codex-script-and-evidence</x:v>
      </x:c>
      <x:c r="W257" s="4" t="str"/>
      <x:c r="X257" s="4" t="str"/>
      <x:c r="Y257" s="4" t="str"/>
      <x:c r="Z257" s="4" t="str"/>
      <x:c r="AA257" s="4" t="str"/>
      <x:c r="AB257" s="4" t="str"/>
      <x:c r="AC257" s="4" t="str"/>
    </x:row>
    <x:row r="258" ht="53" customHeight="1">
      <x:c r="A258" s="17" t="str">
        <x:v>PERF-004</x:v>
      </x:c>
      <x:c r="B258" s="17" t="str">
        <x:v>J12</x:v>
      </x:c>
      <x:c r="C258" s="17" t="str">
        <x:v>容量稳定性与异常恢复</x:v>
      </x:c>
      <x:c r="D258" s="17" t="str">
        <x:v>P0</x:v>
      </x:c>
      <x:c r="E258" s="17" t="str">
        <x:v>24小时稳定性与发布长跑</x:v>
      </x:c>
      <x:c r="F258" s="17" t="str">
        <x:v>业务基线通过；容量和停止门限经评审冻结；建议日常24h、发布72h待评审</x:v>
      </x:c>
      <x:c r="G258" s="17" t="str">
        <x:v>DUT；四摄像机与NVR四路；固定离线流</x:v>
      </x:c>
      <x:c r="H258" s="17" t="str">
        <x:v>1. 在已通过负载点连续运行
2. 定时采集CPU/NPU/RSS磁盘线程句柄事件
3. 收尾对账</x:v>
      </x:c>
      <x:c r="I258" s="17" t="str">
        <x:v>实际满负载时长达到选定门限；无崩溃死锁无界增长；采样缺口和中断必须披露。</x:v>
      </x:c>
      <x:c r="J258" s="17" t="str">
        <x:v>停本轮负载；恢复源配置；检查资源回落</x:v>
      </x:c>
      <x:c r="K258" s="17" t="str">
        <x:v>步骤观察、实际结果、证据文件与清理核对</x:v>
      </x:c>
      <x:c r="L258" s="17" t="str">
        <x:v>目标设备观测＋受控故障；业务UI复核</x:v>
      </x:c>
      <x:c r="M258" s="17" t="str">
        <x:v>受影响模块回归</x:v>
      </x:c>
      <x:c r="N258" s="17" t="str">
        <x:v>目标设备具备该能力</x:v>
      </x:c>
      <x:c r="O258" s="17" t="str">
        <x:v>docs/guide/scenario-benchmark-design.md；docs/guide/test-cases.md</x:v>
      </x:c>
      <x:c r="P258" s="17" t="str">
        <x:v>未执行</x:v>
      </x:c>
      <x:c r="Q258" s="19" t="str"/>
      <x:c r="R258" s="17" t="str"/>
      <x:c r="S258" s="17" t="str"/>
      <x:c r="T258" s="17" t="n">
        <x:v>1</x:v>
      </x:c>
      <x:c r="U258" s="17" t="str">
        <x:v>DUT；PRECISION-SERVER；ACCEPTANCE</x:v>
      </x:c>
      <x:c r="V258" s="17" t="str">
        <x:v>codex-script-and-evidence</x:v>
      </x:c>
      <x:c r="W258" s="17" t="str"/>
      <x:c r="X258" s="17" t="str"/>
      <x:c r="Y258" s="17" t="str"/>
      <x:c r="Z258" s="17" t="str"/>
      <x:c r="AA258" s="17" t="str"/>
      <x:c r="AB258" s="17" t="str"/>
      <x:c r="AC258" s="17" t="str"/>
    </x:row>
    <x:row r="259" ht="53" customHeight="1">
      <x:c r="A259" s="4" t="str">
        <x:v>PERF-005</x:v>
      </x:c>
      <x:c r="B259" s="4" t="str">
        <x:v>J12</x:v>
      </x:c>
      <x:c r="C259" s="4" t="str">
        <x:v>容量稳定性与异常恢复</x:v>
      </x:c>
      <x:c r="D259" s="4" t="str">
        <x:v>P0</x:v>
      </x:c>
      <x:c r="E259" s="4" t="str">
        <x:v>断网源故障和Broker故障</x:v>
      </x:c>
      <x:c r="F259" s="4" t="str">
        <x:v>业务基线通过；容量和停止门限经评审冻结；隔离故障注入</x:v>
      </x:c>
      <x:c r="G259" s="4" t="str">
        <x:v>DUT；四摄像机与NVR四路；固定离线流</x:v>
      </x:c>
      <x:c r="H259" s="4" t="str">
        <x:v>1. 分别中断一路源、推送接收端和管理浏览器网络
2. 恢复
3. 核对其他任务</x:v>
      </x:c>
      <x:c r="I259" s="4" t="str">
        <x:v>故障范围受控；错误可见；其他任务持续；恢复时长和丢事件量真实记录。</x:v>
      </x:c>
      <x:c r="J259" s="4" t="str">
        <x:v>停本轮负载；恢复源配置；检查资源回落</x:v>
      </x:c>
      <x:c r="K259" s="4" t="str">
        <x:v>步骤观察、实际结果、证据文件与清理核对</x:v>
      </x:c>
      <x:c r="L259" s="4" t="str">
        <x:v>目标设备观测＋受控故障；业务UI复核</x:v>
      </x:c>
      <x:c r="M259" s="4" t="str">
        <x:v>受影响模块回归</x:v>
      </x:c>
      <x:c r="N259" s="4" t="str">
        <x:v>目标设备具备该能力</x:v>
      </x:c>
      <x:c r="O259" s="4" t="str">
        <x:v>docs/guide/scenario-benchmark-design.md；docs/guide/test-cases.md</x:v>
      </x:c>
      <x:c r="P259" s="4" t="str">
        <x:v>未执行</x:v>
      </x:c>
      <x:c r="Q259" s="19" t="str"/>
      <x:c r="R259" s="12" t="str"/>
      <x:c r="S259" s="12" t="str"/>
      <x:c r="T259" s="4" t="n">
        <x:v>1</x:v>
      </x:c>
      <x:c r="U259" s="4" t="str">
        <x:v>DUT；PRECISION-SERVER；RECOVERY-KIT</x:v>
      </x:c>
      <x:c r="V259" s="4" t="str">
        <x:v>codex-script-and-evidence</x:v>
      </x:c>
      <x:c r="W259" s="4" t="str"/>
      <x:c r="X259" s="4" t="str"/>
      <x:c r="Y259" s="4" t="str"/>
      <x:c r="Z259" s="4" t="str"/>
      <x:c r="AA259" s="4" t="str"/>
      <x:c r="AB259" s="4" t="str"/>
      <x:c r="AC259" s="4" t="str"/>
    </x:row>
    <x:row r="260" ht="53" customHeight="1">
      <x:c r="A260" s="17" t="str">
        <x:v>PERF-006</x:v>
      </x:c>
      <x:c r="B260" s="17" t="str">
        <x:v>J12</x:v>
      </x:c>
      <x:c r="C260" s="17" t="str">
        <x:v>容量稳定性与异常恢复</x:v>
      </x:c>
      <x:c r="D260" s="17" t="str">
        <x:v>P0</x:v>
      </x:c>
      <x:c r="E260" s="17" t="str">
        <x:v>进程异常与看门狗</x:v>
      </x:c>
      <x:c r="F260" s="17" t="str">
        <x:v>业务基线通过；容量和停止门限经评审冻结；专用实例及已确认生产/开发模式</x:v>
      </x:c>
      <x:c r="G260" s="17" t="str">
        <x:v>DUT；四摄像机与NVR四路；固定离线流</x:v>
      </x:c>
      <x:c r="H260" s="17" t="str">
        <x:v>1. 受控终止进程
2. 观察服务策略恢复
3. 登录核对配置和任务</x:v>
      </x:c>
      <x:c r="I260" s="17" t="str">
        <x:v>生产按看门狗策略恢复；COSMO_DEV_MODE关闭看门狗时明确记录；不能以开发结果替代生产。</x:v>
      </x:c>
      <x:c r="J260" s="17" t="str">
        <x:v>停本轮负载；恢复源配置；检查资源回落</x:v>
      </x:c>
      <x:c r="K260" s="17" t="str">
        <x:v>步骤观察、实际结果、证据文件与清理核对</x:v>
      </x:c>
      <x:c r="L260" s="17" t="str">
        <x:v>目标设备观测＋受控故障；业务UI复核</x:v>
      </x:c>
      <x:c r="M260" s="17" t="str">
        <x:v>发布全量/高影响</x:v>
      </x:c>
      <x:c r="N260" s="17" t="str">
        <x:v>目标设备具备该能力</x:v>
      </x:c>
      <x:c r="O260" s="17" t="str">
        <x:v>docs/guide/scenario-benchmark-design.md；docs/guide/test-cases.md</x:v>
      </x:c>
      <x:c r="P260" s="17" t="str">
        <x:v>未执行</x:v>
      </x:c>
      <x:c r="Q260" s="19" t="str"/>
      <x:c r="R260" s="17" t="str"/>
      <x:c r="S260" s="17" t="str"/>
      <x:c r="T260" s="17" t="n">
        <x:v>1</x:v>
      </x:c>
      <x:c r="U260" s="17" t="str">
        <x:v>DUT；PRECISION-SERVER；RECOVERY-KIT</x:v>
      </x:c>
      <x:c r="V260" s="17" t="str">
        <x:v>codex-script-and-evidence</x:v>
      </x:c>
      <x:c r="W260" s="17" t="str"/>
      <x:c r="X260" s="17" t="str"/>
      <x:c r="Y260" s="17" t="str"/>
      <x:c r="Z260" s="17" t="str"/>
      <x:c r="AA260" s="17" t="str"/>
      <x:c r="AB260" s="17" t="str"/>
      <x:c r="AC260" s="17" t="str"/>
    </x:row>
    <x:row r="261" ht="68" customHeight="1">
      <x:c r="A261" s="4" t="str">
        <x:v>PERF-007</x:v>
      </x:c>
      <x:c r="B261" s="4" t="str">
        <x:v>J12</x:v>
      </x:c>
      <x:c r="C261" s="4" t="str">
        <x:v>容量稳定性与异常恢复</x:v>
      </x:c>
      <x:c r="D261" s="4" t="str">
        <x:v>P0</x:v>
      </x:c>
      <x:c r="E261" s="4" t="str">
        <x:v>磁盘内存资源受限</x:v>
      </x:c>
      <x:c r="F261" s="4" t="str">
        <x:v>业务基线通过；容量和停止门限经评审冻结；配额/资源限制沙箱</x:v>
      </x:c>
      <x:c r="G261" s="4" t="str">
        <x:v>DUT；四摄像机与NVR四路；固定离线流</x:v>
      </x:c>
      <x:c r="H261" s="4" t="str">
        <x:v>1. 模拟低磁盘和低内存
2. 上传运行导出
3. 释放限制
4. 复查</x:v>
      </x:c>
      <x:c r="I261" s="4" t="str">
        <x:v>有界拒绝和可恢复错误；无配置损坏；不向真实设备填盘或耗尽内存。</x:v>
      </x:c>
      <x:c r="J261" s="4" t="str">
        <x:v>停本轮负载；恢复源配置；检查资源回落</x:v>
      </x:c>
      <x:c r="K261" s="4" t="str">
        <x:v>步骤观察、实际结果、证据文件与清理核对</x:v>
      </x:c>
      <x:c r="L261" s="4" t="str">
        <x:v>目标设备观测＋受控故障；业务UI复核</x:v>
      </x:c>
      <x:c r="M261" s="4" t="str">
        <x:v>发布全量/高影响</x:v>
      </x:c>
      <x:c r="N261" s="4" t="str">
        <x:v>目标设备具备该能力</x:v>
      </x:c>
      <x:c r="O261" s="4" t="str">
        <x:v>docs/guide/scenario-benchmark-design.md；docs/guide/test-cases.md</x:v>
      </x:c>
      <x:c r="P261" s="4" t="str">
        <x:v>未执行</x:v>
      </x:c>
      <x:c r="Q261" s="19" t="str"/>
      <x:c r="R261" s="12" t="str"/>
      <x:c r="S261" s="12" t="str"/>
      <x:c r="T261" s="4" t="n">
        <x:v>1</x:v>
      </x:c>
      <x:c r="U261" s="4" t="str">
        <x:v>DUT；PRECISION-SERVER；RECOVERY-KIT；ACCEPTANCE</x:v>
      </x:c>
      <x:c r="V261" s="4" t="str">
        <x:v>codex-script-and-evidence</x:v>
      </x:c>
      <x:c r="W261" s="4" t="str"/>
      <x:c r="X261" s="4" t="str"/>
      <x:c r="Y261" s="4" t="str"/>
      <x:c r="Z261" s="4" t="str"/>
      <x:c r="AA261" s="4" t="str"/>
      <x:c r="AB261" s="4" t="str"/>
      <x:c r="AC261" s="4" t="str"/>
    </x:row>
    <x:row r="262" ht="53" customHeight="1">
      <x:c r="A262" s="17" t="str">
        <x:v>PERF-008</x:v>
      </x:c>
      <x:c r="B262" s="17" t="str">
        <x:v>J12</x:v>
      </x:c>
      <x:c r="C262" s="17" t="str">
        <x:v>容量稳定性与异常恢复</x:v>
      </x:c>
      <x:c r="D262" s="17" t="str">
        <x:v>P1</x:v>
      </x:c>
      <x:c r="E262" s="17" t="str">
        <x:v>频繁增删启停耐久</x:v>
      </x:c>
      <x:c r="F262" s="17" t="str">
        <x:v>业务基线通过；容量和停止门限经评审冻结；固定本轮对象；建议100轮待评审</x:v>
      </x:c>
      <x:c r="G262" s="17" t="str">
        <x:v>DUT；四摄像机与NVR四路；固定离线流</x:v>
      </x:c>
      <x:c r="H262" s="17" t="str">
        <x:v>1. 循环添加通道建任务开关删除
2. 每轮核对实例连接与内存
3. 对比第1/中间/末轮</x:v>
      </x:c>
      <x:c r="I262" s="17" t="str">
        <x:v>无累计残留或死锁；资源回落到稳定区间；失败轮保留证据，不自动掩盖。</x:v>
      </x:c>
      <x:c r="J262" s="17" t="str">
        <x:v>停本轮负载；恢复源配置；检查资源回落</x:v>
      </x:c>
      <x:c r="K262" s="17" t="str">
        <x:v>步骤观察、实际结果、证据文件与清理核对</x:v>
      </x:c>
      <x:c r="L262" s="17" t="str">
        <x:v>目标设备观测＋受控故障；业务UI复核</x:v>
      </x:c>
      <x:c r="M262" s="17" t="str">
        <x:v>受影响模块回归</x:v>
      </x:c>
      <x:c r="N262" s="17" t="str">
        <x:v>目标设备具备该能力</x:v>
      </x:c>
      <x:c r="O262" s="17" t="str">
        <x:v>docs/guide/scenario-benchmark-design.md；docs/guide/test-cases.md</x:v>
      </x:c>
      <x:c r="P262" s="17" t="str">
        <x:v>未执行</x:v>
      </x:c>
      <x:c r="Q262" s="19" t="str"/>
      <x:c r="R262" s="17" t="str"/>
      <x:c r="S262" s="17" t="str"/>
      <x:c r="T262" s="17" t="n">
        <x:v>1</x:v>
      </x:c>
      <x:c r="U262" s="17" t="str">
        <x:v>DUT；PRECISION-SERVER</x:v>
      </x:c>
      <x:c r="V262" s="17" t="str">
        <x:v>codex-script-and-evidence</x:v>
      </x:c>
      <x:c r="W262" s="17" t="str"/>
      <x:c r="X262" s="17" t="str"/>
      <x:c r="Y262" s="17" t="str"/>
      <x:c r="Z262" s="17" t="str"/>
      <x:c r="AA262" s="17" t="str"/>
      <x:c r="AB262" s="17" t="str"/>
      <x:c r="AC262" s="17" t="str"/>
    </x:row>
    <x:row r="263" ht="38" customHeight="1">
      <x:c r="A263" s="4" t="str">
        <x:v>PERF-009</x:v>
      </x:c>
      <x:c r="B263" s="4" t="str">
        <x:v>J12</x:v>
      </x:c>
      <x:c r="C263" s="4" t="str">
        <x:v>容量稳定性与异常恢复</x:v>
      </x:c>
      <x:c r="D263" s="4" t="str">
        <x:v>P1</x:v>
      </x:c>
      <x:c r="E263" s="4" t="str">
        <x:v>延迟与时钟测量</x:v>
      </x:c>
      <x:c r="F263" s="4" t="str">
        <x:v>业务基线通过；容量和停止门限经评审冻结；同Profile/GOP/FPS；可观察时钟或帧标</x:v>
      </x:c>
      <x:c r="G263" s="4" t="str">
        <x:v>DUT；四摄像机与NVR四路；固定离线流</x:v>
      </x:c>
      <x:c r="H263" s="4" t="str">
        <x:v>1. 分别测首帧、告警端到端、预览端到端与API P95
2. RTSP/ONVIF/GB对照</x:v>
      </x:c>
      <x:c r="I263" s="4" t="str">
        <x:v>相同输入条件下比较；提供样本数和分位数；不存在未经评审的通用毫秒承诺。</x:v>
      </x:c>
      <x:c r="J263" s="4" t="str">
        <x:v>停本轮负载；恢复源配置；检查资源回落</x:v>
      </x:c>
      <x:c r="K263" s="4" t="str">
        <x:v>步骤观察、实际结果、证据文件与清理核对</x:v>
      </x:c>
      <x:c r="L263" s="4" t="str">
        <x:v>目标设备观测＋受控故障；业务UI复核</x:v>
      </x:c>
      <x:c r="M263" s="4" t="str">
        <x:v>受影响模块回归</x:v>
      </x:c>
      <x:c r="N263" s="4" t="str">
        <x:v>目标设备具备该能力</x:v>
      </x:c>
      <x:c r="O263" s="4" t="str">
        <x:v>docs/guide/scenario-benchmark-design.md；docs/guide/test-cases.md</x:v>
      </x:c>
      <x:c r="P263" s="4" t="str">
        <x:v>未执行</x:v>
      </x:c>
      <x:c r="Q263" s="19" t="str"/>
      <x:c r="R263" s="12" t="str"/>
      <x:c r="S263" s="12" t="str"/>
      <x:c r="T263" s="4" t="n">
        <x:v>1</x:v>
      </x:c>
      <x:c r="U263" s="4" t="str">
        <x:v>DUT；PRECISION-SERVER；ACCEPTANCE</x:v>
      </x:c>
      <x:c r="V263" s="4" t="str">
        <x:v>codex-script-and-evidence</x:v>
      </x:c>
      <x:c r="W263" s="4" t="str"/>
      <x:c r="X263" s="4" t="str"/>
      <x:c r="Y263" s="4" t="str"/>
      <x:c r="Z263" s="4" t="str"/>
      <x:c r="AA263" s="4" t="str"/>
      <x:c r="AB263" s="4" t="str"/>
      <x:c r="AC263" s="4" t="str"/>
    </x:row>
    <x:row r="264" ht="98" customHeight="1">
      <x:c r="A264" s="17" t="str">
        <x:v>REG-001</x:v>
      </x:c>
      <x:c r="B264" s="17" t="str">
        <x:v>J12</x:v>
      </x:c>
      <x:c r="C264" s="17" t="str">
        <x:v>持续回归与交付</x:v>
      </x:c>
      <x:c r="D264" s="17" t="str">
        <x:v>P0</x:v>
      </x:c>
      <x:c r="E264" s="17" t="str">
        <x:v>每次变更最小冒烟旅程</x:v>
      </x:c>
      <x:c r="F264" s="17" t="str">
        <x:v>前述用例按适用项执行完成；已冻结可复现数据</x:v>
      </x:c>
      <x:c r="G264" s="17" t="str">
        <x:v>候选提交；全套用例；复现材料</x:v>
      </x:c>
      <x:c r="H264" s="17" t="str">
        <x:v>1. 登录
2. 新增视频
3. 建场景启用
4. 改阈值ROI
5. 查事件
6. 停止清理</x:v>
      </x:c>
      <x:c r="I264" s="17" t="str">
        <x:v>所有关键检查点有UI证据与运行证据；任一步失败阻止标记本轮冒烟通过。</x:v>
      </x:c>
      <x:c r="J264" s="17" t="str">
        <x:v>核对原资源恢复；封存报告及缺陷；不得删除失败记录</x:v>
      </x:c>
      <x:c r="K264" s="17" t="str">
        <x:v>步骤观察、实际结果、证据文件与清理核对</x:v>
      </x:c>
      <x:c r="L264" s="17" t="str">
        <x:v>UI旅程＋原生检查＋报告审核</x:v>
      </x:c>
      <x:c r="M264" s="17" t="str">
        <x:v>每次变更冒烟</x:v>
      </x:c>
      <x:c r="N264" s="17" t="str">
        <x:v>目标设备具备该能力</x:v>
      </x:c>
      <x:c r="O264" s="17" t="str">
        <x:v>AGENTS.md；src/web/package.json；package.json；test</x:v>
      </x:c>
      <x:c r="P264" s="17" t="str">
        <x:v>未执行</x:v>
      </x:c>
      <x:c r="Q264" s="19" t="str"/>
      <x:c r="R264" s="17" t="str"/>
      <x:c r="S264" s="17" t="str"/>
      <x:c r="T264" s="17" t="n">
        <x:v>1</x:v>
      </x:c>
      <x:c r="U264" s="17" t="str">
        <x:v>DUT</x:v>
      </x:c>
      <x:c r="V264" s="17" t="str">
        <x:v>codex-script-and-evidence</x:v>
      </x:c>
      <x:c r="W264" s="17" t="str"/>
      <x:c r="X264" s="17" t="str"/>
      <x:c r="Y264" s="17" t="str"/>
      <x:c r="Z264" s="17" t="str"/>
      <x:c r="AA264" s="17" t="str"/>
      <x:c r="AB264" s="17" t="str"/>
      <x:c r="AC264" s="17" t="str"/>
    </x:row>
    <x:row r="265" ht="53" customHeight="1">
      <x:c r="A265" s="4" t="str">
        <x:v>REG-002</x:v>
      </x:c>
      <x:c r="B265" s="4" t="str">
        <x:v>J12</x:v>
      </x:c>
      <x:c r="C265" s="4" t="str">
        <x:v>持续回归与交付</x:v>
      </x:c>
      <x:c r="D265" s="4" t="str">
        <x:v>P0</x:v>
      </x:c>
      <x:c r="E265" s="4" t="str">
        <x:v>按变更选择原生测试</x:v>
      </x:c>
      <x:c r="F265" s="4" t="str">
        <x:v>前述用例按适用项执行完成；读变更文件与依赖链</x:v>
      </x:c>
      <x:c r="G265" s="4" t="str">
        <x:v>候选提交；全套用例；复现材料</x:v>
      </x:c>
      <x:c r="H265" s="4" t="str">
        <x:v>1. C++跑CPU测试构建及cosmo-tests和格式
2. 前端npm ci/build及适用专项
3. 文档docs:verify</x:v>
      </x:c>
      <x:c r="I265" s="4" t="str">
        <x:v>原生检查与受影响客户旅程均通过；本机不可执行的明确未验证，不能冒充目标设备结果。</x:v>
      </x:c>
      <x:c r="J265" s="4" t="str">
        <x:v>核对原资源恢复；封存报告及缺陷；不得删除失败记录</x:v>
      </x:c>
      <x:c r="K265" s="4" t="str">
        <x:v>步骤观察、实际结果、证据文件与清理核对</x:v>
      </x:c>
      <x:c r="L265" s="4" t="str">
        <x:v>UI旅程＋原生检查＋报告审核</x:v>
      </x:c>
      <x:c r="M265" s="4" t="str">
        <x:v>受影响模块回归</x:v>
      </x:c>
      <x:c r="N265" s="4" t="str">
        <x:v>目标设备具备该能力</x:v>
      </x:c>
      <x:c r="O265" s="4" t="str">
        <x:v>AGENTS.md；src/web/package.json；package.json；test</x:v>
      </x:c>
      <x:c r="P265" s="4" t="str">
        <x:v>未执行</x:v>
      </x:c>
      <x:c r="Q265" s="19" t="str"/>
      <x:c r="R265" s="12" t="str"/>
      <x:c r="S265" s="12" t="str"/>
      <x:c r="T265" s="4" t="n">
        <x:v>1</x:v>
      </x:c>
      <x:c r="U265" s="4" t="str">
        <x:v>DUT；ROLLBACK-PACKAGE；UPGRADE-PACKAGE</x:v>
      </x:c>
      <x:c r="V265" s="4" t="str">
        <x:v>codex-script-and-evidence</x:v>
      </x:c>
      <x:c r="W265" s="4" t="str"/>
      <x:c r="X265" s="4" t="str"/>
      <x:c r="Y265" s="4" t="str"/>
      <x:c r="Z265" s="4" t="str"/>
      <x:c r="AA265" s="4" t="str"/>
      <x:c r="AB265" s="4" t="str"/>
      <x:c r="AC265" s="4" t="str"/>
    </x:row>
    <x:row r="266" ht="53" customHeight="1">
      <x:c r="A266" s="17" t="str">
        <x:v>REG-003</x:v>
      </x:c>
      <x:c r="B266" s="17" t="str">
        <x:v>J12</x:v>
      </x:c>
      <x:c r="C266" s="17" t="str">
        <x:v>持续回归与交付</x:v>
      </x:c>
      <x:c r="D266" s="17" t="str">
        <x:v>P0</x:v>
      </x:c>
      <x:c r="E266" s="17" t="str">
        <x:v>发布候选全量与结果门禁</x:v>
      </x:c>
      <x:c r="F266" s="17" t="str">
        <x:v>前述用例按适用项执行完成</x:v>
      </x:c>
      <x:c r="G266" s="17" t="str">
        <x:v>候选提交；全套用例；复现材料</x:v>
      </x:c>
      <x:c r="H266" s="17" t="str">
        <x:v>1. 逐项核对适用路由模板组件参数
2. 汇总通过失败阻塞不适用未执行
3. 评审缺陷和风险</x:v>
      </x:c>
      <x:c r="I266" s="17" t="str">
        <x:v>P0适用项100%通过；阻塞未执行不计通过；P1放行需逐项记录业务接受，阈值待评审锁定。</x:v>
      </x:c>
      <x:c r="J266" s="17" t="str">
        <x:v>核对原资源恢复；封存报告及缺陷；不得删除失败记录</x:v>
      </x:c>
      <x:c r="K266" s="17" t="str">
        <x:v>步骤观察、实际结果、证据文件与清理核对</x:v>
      </x:c>
      <x:c r="L266" s="17" t="str">
        <x:v>UI旅程＋原生检查＋报告审核</x:v>
      </x:c>
      <x:c r="M266" s="17" t="str">
        <x:v>受影响模块回归</x:v>
      </x:c>
      <x:c r="N266" s="17" t="str">
        <x:v>目标设备具备该能力</x:v>
      </x:c>
      <x:c r="O266" s="17" t="str">
        <x:v>AGENTS.md；src/web/package.json；package.json；test</x:v>
      </x:c>
      <x:c r="P266" s="17" t="str">
        <x:v>未执行</x:v>
      </x:c>
      <x:c r="Q266" s="19" t="str"/>
      <x:c r="R266" s="17" t="str"/>
      <x:c r="S266" s="17" t="str"/>
      <x:c r="T266" s="17" t="n">
        <x:v>1</x:v>
      </x:c>
      <x:c r="U266" s="17" t="str">
        <x:v>DUT；ACCEPTANCE</x:v>
      </x:c>
      <x:c r="V266" s="17" t="str">
        <x:v>codex-script-and-evidence</x:v>
      </x:c>
      <x:c r="W266" s="17" t="str"/>
      <x:c r="X266" s="17" t="str"/>
      <x:c r="Y266" s="17" t="str"/>
      <x:c r="Z266" s="17" t="str"/>
      <x:c r="AA266" s="17" t="str"/>
      <x:c r="AB266" s="17" t="str"/>
      <x:c r="AC266" s="17" t="str"/>
    </x:row>
    <x:row r="267" ht="53" customHeight="1">
      <x:c r="A267" s="4" t="str">
        <x:v>REG-004</x:v>
      </x:c>
      <x:c r="B267" s="4" t="str">
        <x:v>J12</x:v>
      </x:c>
      <x:c r="C267" s="4" t="str">
        <x:v>持续回归与交付</x:v>
      </x:c>
      <x:c r="D267" s="4" t="str">
        <x:v>P1</x:v>
      </x:c>
      <x:c r="E267" s="4" t="str">
        <x:v>新增功能同步补用例</x:v>
      </x:c>
      <x:c r="F267" s="4" t="str">
        <x:v>前述用例按适用项执行完成</x:v>
      </x:c>
      <x:c r="G267" s="4" t="str">
        <x:v>候选提交；全套用例；复现材料</x:v>
      </x:c>
      <x:c r="H267" s="4" t="str">
        <x:v>1. 比较新旧路由菜单模板组件schema
2. 为新增变化建立用例
3. 绑定提交和回归包</x:v>
      </x:c>
      <x:c r="I267" s="4" t="str">
        <x:v>功能清单差异可追溯；不能长期沿用旧清单声称覆盖新增代码；删除功能保留历史记录。</x:v>
      </x:c>
      <x:c r="J267" s="4" t="str">
        <x:v>核对原资源恢复；封存报告及缺陷；不得删除失败记录</x:v>
      </x:c>
      <x:c r="K267" s="4" t="str">
        <x:v>步骤观察、实际结果、证据文件与清理核对</x:v>
      </x:c>
      <x:c r="L267" s="4" t="str">
        <x:v>UI旅程＋原生检查＋报告审核</x:v>
      </x:c>
      <x:c r="M267" s="4" t="str">
        <x:v>受影响模块回归</x:v>
      </x:c>
      <x:c r="N267" s="4" t="str">
        <x:v>目标设备具备该能力</x:v>
      </x:c>
      <x:c r="O267" s="4" t="str">
        <x:v>AGENTS.md；src/web/package.json；package.json；test</x:v>
      </x:c>
      <x:c r="P267" s="4" t="str">
        <x:v>未执行</x:v>
      </x:c>
      <x:c r="Q267" s="19" t="str"/>
      <x:c r="R267" s="12" t="str"/>
      <x:c r="S267" s="12" t="str"/>
      <x:c r="T267" s="4" t="n">
        <x:v>1</x:v>
      </x:c>
      <x:c r="U267" s="4" t="str">
        <x:v>DUT；OTHER-TARGETS</x:v>
      </x:c>
      <x:c r="V267" s="4" t="str">
        <x:v>codex-script-and-evidence</x:v>
      </x:c>
      <x:c r="W267" s="4" t="str"/>
      <x:c r="X267" s="4" t="str"/>
      <x:c r="Y267" s="4" t="str"/>
      <x:c r="Z267" s="4" t="str"/>
      <x:c r="AA267" s="4" t="str"/>
      <x:c r="AB267" s="4" t="str"/>
      <x:c r="AC267" s="4" t="str"/>
    </x:row>
    <x:row r="268" ht="68" customHeight="1">
      <x:c r="A268" s="17" t="str">
        <x:v>REG-005</x:v>
      </x:c>
      <x:c r="B268" s="17" t="str">
        <x:v>J12</x:v>
      </x:c>
      <x:c r="C268" s="17" t="str">
        <x:v>持续回归与交付</x:v>
      </x:c>
      <x:c r="D268" s="17" t="str">
        <x:v>P0</x:v>
      </x:c>
      <x:c r="E268" s="17" t="str">
        <x:v>清理恢复与复测闭环</x:v>
      </x:c>
      <x:c r="F268" s="17" t="str">
        <x:v>前述用例按适用项执行完成</x:v>
      </x:c>
      <x:c r="G268" s="17" t="str">
        <x:v>候选提交；全套用例；复现材料</x:v>
      </x:c>
      <x:c r="H268" s="17" t="str">
        <x:v>1. 核对本轮对象清单
2. 恢复设备及外设参数
3. 检查原业务
4. 缺陷修复后按同样本复测</x:v>
      </x:c>
      <x:c r="I268" s="17" t="str">
        <x:v>仅本轮对象被清理；原业务恢复；原失败与复测结果并存，修复可追溯。</x:v>
      </x:c>
      <x:c r="J268" s="17" t="str">
        <x:v>核对原资源恢复；封存报告及缺陷；不得删除失败记录</x:v>
      </x:c>
      <x:c r="K268" s="17" t="str">
        <x:v>步骤观察、实际结果、证据文件与清理核对</x:v>
      </x:c>
      <x:c r="L268" s="17" t="str">
        <x:v>UI旅程＋原生检查＋报告审核</x:v>
      </x:c>
      <x:c r="M268" s="17" t="str">
        <x:v>受影响模块回归</x:v>
      </x:c>
      <x:c r="N268" s="17" t="str">
        <x:v>目标设备具备该能力</x:v>
      </x:c>
      <x:c r="O268" s="17" t="str">
        <x:v>AGENTS.md；src/web/package.json；package.json；test</x:v>
      </x:c>
      <x:c r="P268" s="17" t="str">
        <x:v>未执行</x:v>
      </x:c>
      <x:c r="Q268" s="19" t="str"/>
      <x:c r="R268" s="17" t="str"/>
      <x:c r="S268" s="17" t="str"/>
      <x:c r="T268" s="17" t="n">
        <x:v>1</x:v>
      </x:c>
      <x:c r="U268" s="17" t="str">
        <x:v>DUT</x:v>
      </x:c>
      <x:c r="V268" s="17" t="str">
        <x:v>codex-script-and-evidence</x:v>
      </x:c>
      <x:c r="W268" s="17" t="str"/>
      <x:c r="X268" s="17" t="str"/>
      <x:c r="Y268" s="17" t="str"/>
      <x:c r="Z268" s="17" t="str"/>
      <x:c r="AA268" s="17" t="str"/>
      <x:c r="AB268" s="17" t="str"/>
      <x:c r="AC268" s="17" t="str"/>
    </x:row>
    <x:row r="269" ht="83" customHeight="1">
      <x:c r="A269" s="4" t="str">
        <x:v>ALG-2</x:v>
      </x:c>
      <x:c r="B269" s="4" t="str">
        <x:v>J04/J07/J12</x:v>
      </x:c>
      <x:c r="C269" s="4" t="str">
        <x:v>逐算法业务验收</x:v>
      </x:c>
      <x:c r="D269" s="4" t="str">
        <x:v>P0</x:v>
      </x:c>
      <x:c r="E269" s="4" t="str">
        <x:v>人脸比对（2）完整实例</x:v>
      </x:c>
      <x:c r="F269" s="4" t="str">
        <x:v>目标设备确认该模板适用且依赖模型已安装；每一子试验单独记录；已入库人独立拍摄图；未入库人；模糊遮挡</x:v>
      </x:c>
      <x:c r="G269" s="4" t="str">
        <x:v>本地素材筛选＋PRECISION-SERVER待盘点；不足项见资源缺口</x:v>
      </x:c>
      <x:c r="H269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69" s="4" t="str">
        <x:v>匹配正确匿名身份与底库；陌生人不冒认；缺有效库不能判陌生；所有子试验完成才可给整项结论；图片输出不自动生成视频告警；没有标签/模型记录阻塞。</x:v>
      </x:c>
      <x:c r="J269" s="4" t="str">
        <x:v>停止并删除本轮任务通道与场景；保留失败样本ID；恢复默认参数</x:v>
      </x:c>
      <x:c r="K269" s="4" t="str">
        <x:v>步骤观察、实际结果、证据文件与清理核对</x:v>
      </x:c>
      <x:c r="L269" s="4" t="str">
        <x:v>UI创建配置运行＋事件/结果核对；真值人工复核</x:v>
      </x:c>
      <x:c r="M269" s="4" t="str">
        <x:v>发布全量/算法变更</x:v>
      </x:c>
      <x:c r="N269" s="4" t="str">
        <x:v>仅模板所在平台：bm1688,cv186x,x86；存在配置不代表模型已安装</x:v>
      </x:c>
      <x:c r="O269" s="4" t="str">
        <x:v>data/resource/aiboxresource_bm1688/algorithm_template/2_人脸识别_1759134672.json</x:v>
      </x:c>
      <x:c r="P269" s="4" t="str">
        <x:v>未执行</x:v>
      </x:c>
      <x:c r="Q269" s="19" t="str"/>
      <x:c r="R269" s="12" t="str"/>
      <x:c r="S269" s="12" t="str"/>
      <x:c r="T269" s="4" t="n">
        <x:v>1</x:v>
      </x:c>
      <x:c r="U269" s="4" t="str">
        <x:v>DUT；MODEL-INVENTORY；FACE-TRUTH；FACE-VIDEO</x:v>
      </x:c>
      <x:c r="V269" s="4" t="str">
        <x:v>codex-ui-and-evidence</x:v>
      </x:c>
      <x:c r="W269" s="4" t="str"/>
      <x:c r="X269" s="4" t="str"/>
      <x:c r="Y269" s="4" t="str"/>
      <x:c r="Z269" s="4" t="str"/>
      <x:c r="AA269" s="4" t="str"/>
      <x:c r="AB269" s="4" t="str"/>
      <x:c r="AC269" s="4" t="str"/>
    </x:row>
    <x:row r="270" ht="83" customHeight="1">
      <x:c r="A270" s="17" t="str">
        <x:v>ALG-3</x:v>
      </x:c>
      <x:c r="B270" s="17" t="str">
        <x:v>J04/J07/J12</x:v>
      </x:c>
      <x:c r="C270" s="17" t="str">
        <x:v>逐算法业务验收</x:v>
      </x:c>
      <x:c r="D270" s="17" t="str">
        <x:v>P1</x:v>
      </x:c>
      <x:c r="E270" s="17" t="str">
        <x:v>区域入侵（3）完整实例</x:v>
      </x:c>
      <x:c r="F270" s="17" t="str">
        <x:v>目标设备确认该模板适用且依赖模型已安装；每一子试验单独记录；目标区内/区外/边界/屏蔽区</x:v>
      </x:c>
      <x:c r="G270" s="17" t="str">
        <x:v>本地素材筛选＋PRECISION-SERVER待盘点；不足项见资源缺口</x:v>
      </x:c>
      <x:c r="H270" s="17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70" s="17" t="str">
        <x:v>指定检测点进入有效ROI才触发；屏蔽区正确抑制；所有子试验完成才可给整项结论；图片输出不自动生成视频告警；没有标签/模型记录阻塞。</x:v>
      </x:c>
      <x:c r="J270" s="17" t="str">
        <x:v>停止并删除本轮任务通道与场景；保留失败样本ID；恢复默认参数</x:v>
      </x:c>
      <x:c r="K270" s="17" t="str">
        <x:v>步骤观察、实际结果、证据文件与清理核对</x:v>
      </x:c>
      <x:c r="L270" s="17" t="str">
        <x:v>UI创建配置运行＋事件/结果核对；真值人工复核</x:v>
      </x:c>
      <x:c r="M270" s="17" t="str">
        <x:v>发布全量/算法变更</x:v>
      </x:c>
      <x:c r="N270" s="17" t="str">
        <x:v>仅模板所在平台：bm1688,cv186x,x86；存在配置不代表模型已安装</x:v>
      </x:c>
      <x:c r="O270" s="17" t="str">
        <x:v>data/resource/aiboxresource_bm1688/algorithm_template/3_区域入侵_1775112182.json</x:v>
      </x:c>
      <x:c r="P270" s="17" t="str">
        <x:v>未执行</x:v>
      </x:c>
      <x:c r="Q270" s="19" t="str"/>
      <x:c r="R270" s="17" t="str"/>
      <x:c r="S270" s="17" t="str"/>
      <x:c r="T270" s="17" t="n">
        <x:v>1</x:v>
      </x:c>
      <x:c r="U270" s="17" t="str">
        <x:v>DUT；MODEL-INVENTORY；SCENARIO-TRUTH</x:v>
      </x:c>
      <x:c r="V270" s="17" t="str">
        <x:v>codex-ui-and-evidence</x:v>
      </x:c>
      <x:c r="W270" s="17" t="str"/>
      <x:c r="X270" s="17" t="str"/>
      <x:c r="Y270" s="17" t="str"/>
      <x:c r="Z270" s="17" t="str"/>
      <x:c r="AA270" s="17" t="str"/>
      <x:c r="AB270" s="17" t="str"/>
      <x:c r="AC270" s="17" t="str"/>
    </x:row>
    <x:row r="271" ht="83" customHeight="1">
      <x:c r="A271" s="4" t="str">
        <x:v>ALG-5</x:v>
      </x:c>
      <x:c r="B271" s="4" t="str">
        <x:v>J04/J07/J12</x:v>
      </x:c>
      <x:c r="C271" s="4" t="str">
        <x:v>逐算法业务验收</x:v>
      </x:c>
      <x:c r="D271" s="4" t="str">
        <x:v>P1</x:v>
      </x:c>
      <x:c r="E271" s="4" t="str">
        <x:v>人员聚集（5）完整实例</x:v>
      </x:c>
      <x:c r="F271" s="4" t="str">
        <x:v>目标设备确认该模板适用且依赖模型已安装；每一子试验单独记录；人数阈值下/等于/超过及短暂经过</x:v>
      </x:c>
      <x:c r="G271" s="4" t="str">
        <x:v>本地素材筛选＋PRECISION-SERVER待盘点；不足项见资源缺口</x:v>
      </x:c>
      <x:c r="H271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71" s="4" t="str">
        <x:v>数量与持续条件按比较运算符满足才聚集告警；所有子试验完成才可给整项结论；图片输出不自动生成视频告警；没有标签/模型记录阻塞。</x:v>
      </x:c>
      <x:c r="J271" s="4" t="str">
        <x:v>停止并删除本轮任务通道与场景；保留失败样本ID；恢复默认参数</x:v>
      </x:c>
      <x:c r="K271" s="4" t="str">
        <x:v>步骤观察、实际结果、证据文件与清理核对</x:v>
      </x:c>
      <x:c r="L271" s="4" t="str">
        <x:v>UI创建配置运行＋事件/结果核对；真值人工复核</x:v>
      </x:c>
      <x:c r="M271" s="4" t="str">
        <x:v>发布全量/算法变更</x:v>
      </x:c>
      <x:c r="N271" s="4" t="str">
        <x:v>仅模板所在平台：bm1688,cv186x,x86；存在配置不代表模型已安装</x:v>
      </x:c>
      <x:c r="O271" s="4" t="str">
        <x:v>data/resource/aiboxresource_bm1688/algorithm_template/5_人员聚集_1759134672.json</x:v>
      </x:c>
      <x:c r="P271" s="4" t="str">
        <x:v>未执行</x:v>
      </x:c>
      <x:c r="Q271" s="19" t="str"/>
      <x:c r="R271" s="12" t="str"/>
      <x:c r="S271" s="12" t="str"/>
      <x:c r="T271" s="4" t="n">
        <x:v>1</x:v>
      </x:c>
      <x:c r="U271" s="4" t="str">
        <x:v>DUT；MODEL-INVENTORY；SCENARIO-TRUTH</x:v>
      </x:c>
      <x:c r="V271" s="4" t="str">
        <x:v>codex-ui-and-evidence</x:v>
      </x:c>
      <x:c r="W271" s="4" t="str"/>
      <x:c r="X271" s="4" t="str"/>
      <x:c r="Y271" s="4" t="str"/>
      <x:c r="Z271" s="4" t="str"/>
      <x:c r="AA271" s="4" t="str"/>
      <x:c r="AB271" s="4" t="str"/>
      <x:c r="AC271" s="4" t="str"/>
    </x:row>
    <x:row r="272" ht="83" customHeight="1">
      <x:c r="A272" s="17" t="str">
        <x:v>ALG-6</x:v>
      </x:c>
      <x:c r="B272" s="17" t="str">
        <x:v>J04/J07/J12</x:v>
      </x:c>
      <x:c r="C272" s="17" t="str">
        <x:v>逐算法业务验收</x:v>
      </x:c>
      <x:c r="D272" s="17" t="str">
        <x:v>P1</x:v>
      </x:c>
      <x:c r="E272" s="17" t="str">
        <x:v>人员跌倒（6）完整实例</x:v>
      </x:c>
      <x:c r="F272" s="17" t="str">
        <x:v>目标设备确认该模板适用且依赖模型已安装；每一子试验单独记录；人员跌倒、蹲下、坐下、弯腰</x:v>
      </x:c>
      <x:c r="G272" s="17" t="str">
        <x:v>本地素材筛选＋PRECISION-SERVER待盘点；不足项见资源缺口</x:v>
      </x:c>
      <x:c r="H272" s="17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72" s="17" t="str">
        <x:v>跌倒输出对应人和时段；短暂弯腰负例独立报告；所有子试验完成才可给整项结论；图片输出不自动生成视频告警；没有标签/模型记录阻塞。</x:v>
      </x:c>
      <x:c r="J272" s="17" t="str">
        <x:v>停止并删除本轮任务通道与场景；保留失败样本ID；恢复默认参数</x:v>
      </x:c>
      <x:c r="K272" s="17" t="str">
        <x:v>步骤观察、实际结果、证据文件与清理核对</x:v>
      </x:c>
      <x:c r="L272" s="17" t="str">
        <x:v>UI创建配置运行＋事件/结果核对；真值人工复核</x:v>
      </x:c>
      <x:c r="M272" s="17" t="str">
        <x:v>发布全量/算法变更</x:v>
      </x:c>
      <x:c r="N272" s="17" t="str">
        <x:v>仅模板所在平台：bm1688,cv186x,x86；存在配置不代表模型已安装</x:v>
      </x:c>
      <x:c r="O272" s="17" t="str">
        <x:v>data/resource/aiboxresource_bm1688/algorithm_template/6_人员跌倒_1759134672.json</x:v>
      </x:c>
      <x:c r="P272" s="17" t="str">
        <x:v>未执行</x:v>
      </x:c>
      <x:c r="Q272" s="19" t="str"/>
      <x:c r="R272" s="17" t="str"/>
      <x:c r="S272" s="17" t="str"/>
      <x:c r="T272" s="17" t="n">
        <x:v>1</x:v>
      </x:c>
      <x:c r="U272" s="17" t="str">
        <x:v>DUT；MODEL-INVENTORY；SCENARIO-TRUTH</x:v>
      </x:c>
      <x:c r="V272" s="17" t="str">
        <x:v>codex-ui-and-evidence</x:v>
      </x:c>
      <x:c r="W272" s="17" t="str"/>
      <x:c r="X272" s="17" t="str"/>
      <x:c r="Y272" s="17" t="str"/>
      <x:c r="Z272" s="17" t="str"/>
      <x:c r="AA272" s="17" t="str"/>
      <x:c r="AB272" s="17" t="str"/>
      <x:c r="AC272" s="17" t="str"/>
    </x:row>
    <x:row r="273" ht="83" customHeight="1">
      <x:c r="A273" s="4" t="str">
        <x:v>ALG-7</x:v>
      </x:c>
      <x:c r="B273" s="4" t="str">
        <x:v>J04/J07/J12</x:v>
      </x:c>
      <x:c r="C273" s="4" t="str">
        <x:v>逐算法业务验收</x:v>
      </x:c>
      <x:c r="D273" s="4" t="str">
        <x:v>P1</x:v>
      </x:c>
      <x:c r="E273" s="4" t="str">
        <x:v>车辆违停（7）完整实例</x:v>
      </x:c>
      <x:c r="F273" s="4" t="str">
        <x:v>目标设备确认该模板适用且依赖模型已安装；每一子试验单独记录；禁停区停车不足/等于/超过阈值、正常驶过</x:v>
      </x:c>
      <x:c r="G273" s="4" t="str">
        <x:v>本地素材筛选＋PRECISION-SERVER待盘点；不足项见资源缺口</x:v>
      </x:c>
      <x:c r="H273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73" s="4" t="str">
        <x:v>区域停车持续条件满足才报警；正常通行与屏蔽区不触发；所有子试验完成才可给整项结论；图片输出不自动生成视频告警；没有标签/模型记录阻塞。</x:v>
      </x:c>
      <x:c r="J273" s="4" t="str">
        <x:v>停止并删除本轮任务通道与场景；保留失败样本ID；恢复默认参数</x:v>
      </x:c>
      <x:c r="K273" s="4" t="str">
        <x:v>步骤观察、实际结果、证据文件与清理核对</x:v>
      </x:c>
      <x:c r="L273" s="4" t="str">
        <x:v>UI创建配置运行＋事件/结果核对；真值人工复核</x:v>
      </x:c>
      <x:c r="M273" s="4" t="str">
        <x:v>发布全量/算法变更</x:v>
      </x:c>
      <x:c r="N273" s="4" t="str">
        <x:v>仅模板所在平台：bm1688,cv186x,x86；存在配置不代表模型已安装</x:v>
      </x:c>
      <x:c r="O273" s="4" t="str">
        <x:v>data/resource/aiboxresource_bm1688/algorithm_template/7_车辆违停_1759134672.json</x:v>
      </x:c>
      <x:c r="P273" s="4" t="str">
        <x:v>未执行</x:v>
      </x:c>
      <x:c r="Q273" s="19" t="str"/>
      <x:c r="R273" s="12" t="str"/>
      <x:c r="S273" s="12" t="str"/>
      <x:c r="T273" s="4" t="n">
        <x:v>1</x:v>
      </x:c>
      <x:c r="U273" s="4" t="str">
        <x:v>DUT；MODEL-INVENTORY；SCENARIO-TRUTH</x:v>
      </x:c>
      <x:c r="V273" s="4" t="str">
        <x:v>codex-ui-and-evidence</x:v>
      </x:c>
      <x:c r="W273" s="4" t="str"/>
      <x:c r="X273" s="4" t="str"/>
      <x:c r="Y273" s="4" t="str"/>
      <x:c r="Z273" s="4" t="str"/>
      <x:c r="AA273" s="4" t="str"/>
      <x:c r="AB273" s="4" t="str"/>
      <x:c r="AC273" s="4" t="str"/>
    </x:row>
    <x:row r="274" ht="83" customHeight="1">
      <x:c r="A274" s="17" t="str">
        <x:v>ALG-9</x:v>
      </x:c>
      <x:c r="B274" s="17" t="str">
        <x:v>J04/J07/J12</x:v>
      </x:c>
      <x:c r="C274" s="17" t="str">
        <x:v>逐算法业务验收</x:v>
      </x:c>
      <x:c r="D274" s="17" t="str">
        <x:v>P1</x:v>
      </x:c>
      <x:c r="E274" s="17" t="str">
        <x:v>烟雾检测（9）完整实例</x:v>
      </x:c>
      <x:c r="F274" s="17" t="str">
        <x:v>目标设备确认该模板适用且依赖模型已安装；每一子试验单独记录；烟雾正例；水汽/云/阴影负例</x:v>
      </x:c>
      <x:c r="G274" s="17" t="str">
        <x:v>本地素材筛选＋PRECISION-SERVER待盘点；不足项见资源缺口</x:v>
      </x:c>
      <x:c r="H274" s="17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74" s="17" t="str">
        <x:v>烟雾事件命中正确时段；易混淆负例单列；所有子试验完成才可给整项结论；图片输出不自动生成视频告警；没有标签/模型记录阻塞。</x:v>
      </x:c>
      <x:c r="J274" s="17" t="str">
        <x:v>停止并删除本轮任务通道与场景；保留失败样本ID；恢复默认参数</x:v>
      </x:c>
      <x:c r="K274" s="17" t="str">
        <x:v>步骤观察、实际结果、证据文件与清理核对</x:v>
      </x:c>
      <x:c r="L274" s="17" t="str">
        <x:v>UI创建配置运行＋事件/结果核对；真值人工复核</x:v>
      </x:c>
      <x:c r="M274" s="17" t="str">
        <x:v>发布全量/算法变更</x:v>
      </x:c>
      <x:c r="N274" s="17" t="str">
        <x:v>仅模板所在平台：bm1688,cv186x,x86；存在配置不代表模型已安装</x:v>
      </x:c>
      <x:c r="O274" s="17" t="str">
        <x:v>data/resource/aiboxresource_bm1688/algorithm_template/9_烟雾检测_1759134672.json</x:v>
      </x:c>
      <x:c r="P274" s="17" t="str">
        <x:v>未执行</x:v>
      </x:c>
      <x:c r="Q274" s="19" t="str"/>
      <x:c r="R274" s="17" t="str"/>
      <x:c r="S274" s="17" t="str"/>
      <x:c r="T274" s="17" t="n">
        <x:v>1</x:v>
      </x:c>
      <x:c r="U274" s="17" t="str">
        <x:v>DUT；MODEL-INVENTORY；SCENARIO-TRUTH</x:v>
      </x:c>
      <x:c r="V274" s="17" t="str">
        <x:v>codex-ui-and-evidence</x:v>
      </x:c>
      <x:c r="W274" s="17" t="str"/>
      <x:c r="X274" s="17" t="str"/>
      <x:c r="Y274" s="17" t="str"/>
      <x:c r="Z274" s="17" t="str"/>
      <x:c r="AA274" s="17" t="str"/>
      <x:c r="AB274" s="17" t="str"/>
      <x:c r="AC274" s="17" t="str"/>
    </x:row>
    <x:row r="275" ht="83" customHeight="1">
      <x:c r="A275" s="4" t="str">
        <x:v>ALG-10</x:v>
      </x:c>
      <x:c r="B275" s="4" t="str">
        <x:v>J04/J07/J12</x:v>
      </x:c>
      <x:c r="C275" s="4" t="str">
        <x:v>逐算法业务验收</x:v>
      </x:c>
      <x:c r="D275" s="4" t="str">
        <x:v>P1</x:v>
      </x:c>
      <x:c r="E275" s="4" t="str">
        <x:v>火焰检测（10）完整实例</x:v>
      </x:c>
      <x:c r="F275" s="4" t="str">
        <x:v>目标设备确认该模板适用且依赖模型已安装；每一子试验单独记录；火焰清晰正例；红衣/夕阳/灯光负例</x:v>
      </x:c>
      <x:c r="G275" s="4" t="str">
        <x:v>本地素材筛选＋PRECISION-SERVER待盘点；不足项见资源缺口</x:v>
      </x:c>
      <x:c r="H275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75" s="4" t="str">
        <x:v>火焰事件与标注时间和位置一致；相似颜色负例不触发；所有子试验完成才可给整项结论；图片输出不自动生成视频告警；没有标签/模型记录阻塞。</x:v>
      </x:c>
      <x:c r="J275" s="4" t="str">
        <x:v>停止并删除本轮任务通道与场景；保留失败样本ID；恢复默认参数</x:v>
      </x:c>
      <x:c r="K275" s="4" t="str">
        <x:v>步骤观察、实际结果、证据文件与清理核对</x:v>
      </x:c>
      <x:c r="L275" s="4" t="str">
        <x:v>UI创建配置运行＋事件/结果核对；真值人工复核</x:v>
      </x:c>
      <x:c r="M275" s="4" t="str">
        <x:v>发布全量/算法变更</x:v>
      </x:c>
      <x:c r="N275" s="4" t="str">
        <x:v>仅模板所在平台：bm1688,cv186x,x86；存在配置不代表模型已安装</x:v>
      </x:c>
      <x:c r="O275" s="4" t="str">
        <x:v>data/resource/aiboxresource_bm1688/algorithm_template/10_火焰检测_1759134672.json</x:v>
      </x:c>
      <x:c r="P275" s="4" t="str">
        <x:v>未执行</x:v>
      </x:c>
      <x:c r="Q275" s="19" t="str"/>
      <x:c r="R275" s="12" t="str"/>
      <x:c r="S275" s="12" t="str"/>
      <x:c r="T275" s="4" t="n">
        <x:v>1</x:v>
      </x:c>
      <x:c r="U275" s="4" t="str">
        <x:v>DUT；MODEL-INVENTORY；SCENARIO-TRUTH</x:v>
      </x:c>
      <x:c r="V275" s="4" t="str">
        <x:v>codex-ui-and-evidence</x:v>
      </x:c>
      <x:c r="W275" s="4" t="str"/>
      <x:c r="X275" s="4" t="str"/>
      <x:c r="Y275" s="4" t="str"/>
      <x:c r="Z275" s="4" t="str"/>
      <x:c r="AA275" s="4" t="str"/>
      <x:c r="AB275" s="4" t="str"/>
      <x:c r="AC275" s="4" t="str"/>
    </x:row>
    <x:row r="276" ht="83" customHeight="1">
      <x:c r="A276" s="17" t="str">
        <x:v>ALG-11</x:v>
      </x:c>
      <x:c r="B276" s="17" t="str">
        <x:v>J04/J07/J12</x:v>
      </x:c>
      <x:c r="C276" s="17" t="str">
        <x:v>逐算法业务验收</x:v>
      </x:c>
      <x:c r="D276" s="17" t="str">
        <x:v>P1</x:v>
      </x:c>
      <x:c r="E276" s="17" t="str">
        <x:v>吸烟检测（11）完整实例</x:v>
      </x:c>
      <x:c r="F276" s="17" t="str">
        <x:v>目标设备确认该模板适用且依赖模型已安装；每一子试验单独记录；持烟及吸烟动作正例；喝水/摸脸负例</x:v>
      </x:c>
      <x:c r="G276" s="17" t="str">
        <x:v>本地素材筛选＋PRECISION-SERVER待盘点；不足项见资源缺口</x:v>
      </x:c>
      <x:c r="H276" s="17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76" s="17" t="str">
        <x:v>吸烟规则按标注触发；动作相似负例不触发；所有子试验完成才可给整项结论；图片输出不自动生成视频告警；没有标签/模型记录阻塞。</x:v>
      </x:c>
      <x:c r="J276" s="17" t="str">
        <x:v>停止并删除本轮任务通道与场景；保留失败样本ID；恢复默认参数</x:v>
      </x:c>
      <x:c r="K276" s="17" t="str">
        <x:v>步骤观察、实际结果、证据文件与清理核对</x:v>
      </x:c>
      <x:c r="L276" s="17" t="str">
        <x:v>UI创建配置运行＋事件/结果核对；真值人工复核</x:v>
      </x:c>
      <x:c r="M276" s="17" t="str">
        <x:v>发布全量/算法变更</x:v>
      </x:c>
      <x:c r="N276" s="17" t="str">
        <x:v>仅模板所在平台：bm1688,cv186x,x86；存在配置不代表模型已安装</x:v>
      </x:c>
      <x:c r="O276" s="17" t="str">
        <x:v>data/resource/aiboxresource_bm1688/algorithm_template/11_吸烟检测_1775100665.json</x:v>
      </x:c>
      <x:c r="P276" s="17" t="str">
        <x:v>未执行</x:v>
      </x:c>
      <x:c r="Q276" s="19" t="str"/>
      <x:c r="R276" s="17" t="str"/>
      <x:c r="S276" s="17" t="str"/>
      <x:c r="T276" s="17" t="n">
        <x:v>1</x:v>
      </x:c>
      <x:c r="U276" s="17" t="str">
        <x:v>DUT；MODEL-INVENTORY；SCENARIO-TRUTH</x:v>
      </x:c>
      <x:c r="V276" s="17" t="str">
        <x:v>codex-ui-and-evidence</x:v>
      </x:c>
      <x:c r="W276" s="17" t="str"/>
      <x:c r="X276" s="17" t="str"/>
      <x:c r="Y276" s="17" t="str"/>
      <x:c r="Z276" s="17" t="str"/>
      <x:c r="AA276" s="17" t="str"/>
      <x:c r="AB276" s="17" t="str"/>
      <x:c r="AC276" s="17" t="str"/>
    </x:row>
    <x:row r="277" ht="83" customHeight="1">
      <x:c r="A277" s="4" t="str">
        <x:v>ALG-12</x:v>
      </x:c>
      <x:c r="B277" s="4" t="str">
        <x:v>J04/J07/J12</x:v>
      </x:c>
      <x:c r="C277" s="4" t="str">
        <x:v>逐算法业务验收</x:v>
      </x:c>
      <x:c r="D277" s="4" t="str">
        <x:v>P1</x:v>
      </x:c>
      <x:c r="E277" s="4" t="str">
        <x:v>打电话检测（12）完整实例</x:v>
      </x:c>
      <x:c r="F277" s="4" t="str">
        <x:v>目标设备确认该模板适用且依赖模型已安装；每一子试验单独记录；贴耳通话正例；摸头/耳机负例</x:v>
      </x:c>
      <x:c r="G277" s="4" t="str">
        <x:v>本地素材筛选＋PRECISION-SERVER待盘点；不足项见资源缺口</x:v>
      </x:c>
      <x:c r="H277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77" s="4" t="str">
        <x:v>打电话结果对应标注；其他动作不误报；所有子试验完成才可给整项结论；图片输出不自动生成视频告警；没有标签/模型记录阻塞。</x:v>
      </x:c>
      <x:c r="J277" s="4" t="str">
        <x:v>停止并删除本轮任务通道与场景；保留失败样本ID；恢复默认参数</x:v>
      </x:c>
      <x:c r="K277" s="4" t="str">
        <x:v>步骤观察、实际结果、证据文件与清理核对</x:v>
      </x:c>
      <x:c r="L277" s="4" t="str">
        <x:v>UI创建配置运行＋事件/结果核对；真值人工复核</x:v>
      </x:c>
      <x:c r="M277" s="4" t="str">
        <x:v>发布全量/算法变更</x:v>
      </x:c>
      <x:c r="N277" s="4" t="str">
        <x:v>仅模板所在平台：bm1688,cv186x,x86；存在配置不代表模型已安装</x:v>
      </x:c>
      <x:c r="O277" s="4" t="str">
        <x:v>data/resource/aiboxresource_bm1688/algorithm_template/12_打电话检测_1759134672.json</x:v>
      </x:c>
      <x:c r="P277" s="4" t="str">
        <x:v>未执行</x:v>
      </x:c>
      <x:c r="Q277" s="19" t="str"/>
      <x:c r="R277" s="12" t="str"/>
      <x:c r="S277" s="12" t="str"/>
      <x:c r="T277" s="4" t="n">
        <x:v>1</x:v>
      </x:c>
      <x:c r="U277" s="4" t="str">
        <x:v>DUT；MODEL-INVENTORY；SCENARIO-TRUTH</x:v>
      </x:c>
      <x:c r="V277" s="4" t="str">
        <x:v>codex-ui-and-evidence</x:v>
      </x:c>
      <x:c r="W277" s="4" t="str"/>
      <x:c r="X277" s="4" t="str"/>
      <x:c r="Y277" s="4" t="str"/>
      <x:c r="Z277" s="4" t="str"/>
      <x:c r="AA277" s="4" t="str"/>
      <x:c r="AB277" s="4" t="str"/>
      <x:c r="AC277" s="4" t="str"/>
    </x:row>
    <x:row r="278" ht="83" customHeight="1">
      <x:c r="A278" s="17" t="str">
        <x:v>ALG-13</x:v>
      </x:c>
      <x:c r="B278" s="17" t="str">
        <x:v>J04/J07/J12</x:v>
      </x:c>
      <x:c r="C278" s="17" t="str">
        <x:v>逐算法业务验收</x:v>
      </x:c>
      <x:c r="D278" s="17" t="str">
        <x:v>P1</x:v>
      </x:c>
      <x:c r="E278" s="17" t="str">
        <x:v>人流量统计（13）完整实例</x:v>
      </x:c>
      <x:c r="F278" s="17" t="str">
        <x:v>目标设备确认该模板适用且依赖模型已安装；每一子试验单独记录；逐人双向跨线、徘徊、同时通行及空场</x:v>
      </x:c>
      <x:c r="G278" s="17" t="str">
        <x:v>本地素材筛选＋PRECISION-SERVER待盘点；不足项见资源缺口</x:v>
      </x:c>
      <x:c r="H278" s="17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78" s="17" t="str">
        <x:v>进出计数分别对上人工轨迹；不把同一轨迹重复计数；所有子试验完成才可给整项结论；图片输出不自动生成视频告警；没有标签/模型记录阻塞。</x:v>
      </x:c>
      <x:c r="J278" s="17" t="str">
        <x:v>停止并删除本轮任务通道与场景；保留失败样本ID；恢复默认参数</x:v>
      </x:c>
      <x:c r="K278" s="17" t="str">
        <x:v>步骤观察、实际结果、证据文件与清理核对</x:v>
      </x:c>
      <x:c r="L278" s="17" t="str">
        <x:v>UI创建配置运行＋事件/结果核对；真值人工复核</x:v>
      </x:c>
      <x:c r="M278" s="17" t="str">
        <x:v>发布全量/算法变更</x:v>
      </x:c>
      <x:c r="N278" s="17" t="str">
        <x:v>仅模板所在平台：bm1688,cv186x,x86；存在配置不代表模型已安装</x:v>
      </x:c>
      <x:c r="O278" s="17" t="str">
        <x:v>data/resource/aiboxresource_bm1688/algorithm_template/13_人流量统计_1776302940.json</x:v>
      </x:c>
      <x:c r="P278" s="17" t="str">
        <x:v>未执行</x:v>
      </x:c>
      <x:c r="Q278" s="19" t="str"/>
      <x:c r="R278" s="17" t="str"/>
      <x:c r="S278" s="17" t="str"/>
      <x:c r="T278" s="17" t="n">
        <x:v>1</x:v>
      </x:c>
      <x:c r="U278" s="17" t="str">
        <x:v>DUT；MODEL-INVENTORY；SCENARIO-TRUTH</x:v>
      </x:c>
      <x:c r="V278" s="17" t="str">
        <x:v>codex-ui-and-evidence</x:v>
      </x:c>
      <x:c r="W278" s="17" t="str"/>
      <x:c r="X278" s="17" t="str"/>
      <x:c r="Y278" s="17" t="str"/>
      <x:c r="Z278" s="17" t="str"/>
      <x:c r="AA278" s="17" t="str"/>
      <x:c r="AB278" s="17" t="str"/>
      <x:c r="AC278" s="17" t="str"/>
    </x:row>
    <x:row r="279" ht="83" customHeight="1">
      <x:c r="A279" s="4" t="str">
        <x:v>ALG-15</x:v>
      </x:c>
      <x:c r="B279" s="4" t="str">
        <x:v>J04/J07/J12</x:v>
      </x:c>
      <x:c r="C279" s="4" t="str">
        <x:v>逐算法业务验收</x:v>
      </x:c>
      <x:c r="D279" s="4" t="str">
        <x:v>P0</x:v>
      </x:c>
      <x:c r="E279" s="4" t="str">
        <x:v>未戴安全帽（15）完整实例</x:v>
      </x:c>
      <x:c r="F279" s="4" t="str">
        <x:v>目标设备确认该模板适用且依赖模型已安装；每一子试验单独记录；未戴帽正例；合规安全帽/普通帽/遮挡</x:v>
      </x:c>
      <x:c r="G279" s="4" t="str">
        <x:v>本地素材筛选＋PRECISION-SERVER待盘点；不足项见资源缺口</x:v>
      </x:c>
      <x:c r="H279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79" s="4" t="str">
        <x:v>按安全帽业务标签判定；普通帽不自动当安全帽；所有子试验完成才可给整项结论；图片输出不自动生成视频告警；没有标签/模型记录阻塞。</x:v>
      </x:c>
      <x:c r="J279" s="4" t="str">
        <x:v>停止并删除本轮任务通道与场景；保留失败样本ID；恢复默认参数</x:v>
      </x:c>
      <x:c r="K279" s="4" t="str">
        <x:v>步骤观察、实际结果、证据文件与清理核对</x:v>
      </x:c>
      <x:c r="L279" s="4" t="str">
        <x:v>UI创建配置运行＋事件/结果核对；真值人工复核</x:v>
      </x:c>
      <x:c r="M279" s="4" t="str">
        <x:v>发布全量/算法变更</x:v>
      </x:c>
      <x:c r="N279" s="4" t="str">
        <x:v>仅模板所在平台：bm1688,cv186x,x86；存在配置不代表模型已安装</x:v>
      </x:c>
      <x:c r="O279" s="4" t="str">
        <x:v>data/resource/aiboxresource_bm1688/algorithm_template/15_未戴安全帽_1767592983.json</x:v>
      </x:c>
      <x:c r="P279" s="4" t="str">
        <x:v>未执行</x:v>
      </x:c>
      <x:c r="Q279" s="19" t="str"/>
      <x:c r="R279" s="12" t="str"/>
      <x:c r="S279" s="12" t="str"/>
      <x:c r="T279" s="4" t="n">
        <x:v>1</x:v>
      </x:c>
      <x:c r="U279" s="4" t="str">
        <x:v>DUT；MODEL-INVENTORY；SCENARIO-TRUTH</x:v>
      </x:c>
      <x:c r="V279" s="4" t="str">
        <x:v>codex-ui-and-evidence</x:v>
      </x:c>
      <x:c r="W279" s="4" t="str"/>
      <x:c r="X279" s="4" t="str"/>
      <x:c r="Y279" s="4" t="str"/>
      <x:c r="Z279" s="4" t="str"/>
      <x:c r="AA279" s="4" t="str"/>
      <x:c r="AB279" s="4" t="str"/>
      <x:c r="AC279" s="4" t="str"/>
    </x:row>
    <x:row r="280" ht="83" customHeight="1">
      <x:c r="A280" s="17" t="str">
        <x:v>ALG-16</x:v>
      </x:c>
      <x:c r="B280" s="17" t="str">
        <x:v>J04/J07/J12</x:v>
      </x:c>
      <x:c r="C280" s="17" t="str">
        <x:v>逐算法业务验收</x:v>
      </x:c>
      <x:c r="D280" s="17" t="str">
        <x:v>P1</x:v>
      </x:c>
      <x:c r="E280" s="17" t="str">
        <x:v>离岗检测（16）完整实例</x:v>
      </x:c>
      <x:c r="F280" s="17" t="str">
        <x:v>目标设备确认该模板适用且依赖模型已安装；每一子试验单独记录；指定岗位有人、离开不足/达到/超过阈值</x:v>
      </x:c>
      <x:c r="G280" s="17" t="str">
        <x:v>本地素材筛选＋PRECISION-SERVER待盘点；不足项见资源缺口</x:v>
      </x:c>
      <x:c r="H280" s="17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80" s="17" t="str">
        <x:v>离岗按岗位及持续时间判定；短暂遮挡与计划外时间分开；所有子试验完成才可给整项结论；图片输出不自动生成视频告警；没有标签/模型记录阻塞。</x:v>
      </x:c>
      <x:c r="J280" s="17" t="str">
        <x:v>停止并删除本轮任务通道与场景；保留失败样本ID；恢复默认参数</x:v>
      </x:c>
      <x:c r="K280" s="17" t="str">
        <x:v>步骤观察、实际结果、证据文件与清理核对</x:v>
      </x:c>
      <x:c r="L280" s="17" t="str">
        <x:v>UI创建配置运行＋事件/结果核对；真值人工复核</x:v>
      </x:c>
      <x:c r="M280" s="17" t="str">
        <x:v>发布全量/算法变更</x:v>
      </x:c>
      <x:c r="N280" s="17" t="str">
        <x:v>仅模板所在平台：bm1688,cv186x,x86；存在配置不代表模型已安装</x:v>
      </x:c>
      <x:c r="O280" s="17" t="str">
        <x:v>data/resource/aiboxresource_bm1688/algorithm_template/16_离岗检测_1759134672.json</x:v>
      </x:c>
      <x:c r="P280" s="17" t="str">
        <x:v>未执行</x:v>
      </x:c>
      <x:c r="Q280" s="19" t="str"/>
      <x:c r="R280" s="17" t="str"/>
      <x:c r="S280" s="17" t="str"/>
      <x:c r="T280" s="17" t="n">
        <x:v>1</x:v>
      </x:c>
      <x:c r="U280" s="17" t="str">
        <x:v>DUT；MODEL-INVENTORY；SCENARIO-TRUTH</x:v>
      </x:c>
      <x:c r="V280" s="17" t="str">
        <x:v>codex-ui-and-evidence</x:v>
      </x:c>
      <x:c r="W280" s="17" t="str"/>
      <x:c r="X280" s="17" t="str"/>
      <x:c r="Y280" s="17" t="str"/>
      <x:c r="Z280" s="17" t="str"/>
      <x:c r="AA280" s="17" t="str"/>
      <x:c r="AB280" s="17" t="str"/>
      <x:c r="AC280" s="17" t="str"/>
    </x:row>
    <x:row r="281" ht="83" customHeight="1">
      <x:c r="A281" s="4" t="str">
        <x:v>ALG-22</x:v>
      </x:c>
      <x:c r="B281" s="4" t="str">
        <x:v>J04/J07/J12</x:v>
      </x:c>
      <x:c r="C281" s="4" t="str">
        <x:v>逐算法业务验收</x:v>
      </x:c>
      <x:c r="D281" s="4" t="str">
        <x:v>P1</x:v>
      </x:c>
      <x:c r="E281" s="4" t="str">
        <x:v>玩手机检测（22）完整实例</x:v>
      </x:c>
      <x:c r="F281" s="4" t="str">
        <x:v>目标设备确认该模板适用且依赖模型已安装；每一子试验单独记录；手持操作手机正例；持书/空手负例</x:v>
      </x:c>
      <x:c r="G281" s="4" t="str">
        <x:v>本地素材筛选＋PRECISION-SERVER待盘点；不足项见资源缺口</x:v>
      </x:c>
      <x:c r="H281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81" s="4" t="str">
        <x:v>玩手机规则对应目标和时段；与打电话场景分开评估；所有子试验完成才可给整项结论；图片输出不自动生成视频告警；没有标签/模型记录阻塞。</x:v>
      </x:c>
      <x:c r="J281" s="4" t="str">
        <x:v>停止并删除本轮任务通道与场景；保留失败样本ID；恢复默认参数</x:v>
      </x:c>
      <x:c r="K281" s="4" t="str">
        <x:v>步骤观察、实际结果、证据文件与清理核对</x:v>
      </x:c>
      <x:c r="L281" s="4" t="str">
        <x:v>UI创建配置运行＋事件/结果核对；真值人工复核</x:v>
      </x:c>
      <x:c r="M281" s="4" t="str">
        <x:v>发布全量/算法变更</x:v>
      </x:c>
      <x:c r="N281" s="4" t="str">
        <x:v>仅模板所在平台：bm1688,cv186x,x86；存在配置不代表模型已安装</x:v>
      </x:c>
      <x:c r="O281" s="4" t="str">
        <x:v>data/resource/aiboxresource_bm1688/algorithm_template/22_玩手机检测_1759134672.json</x:v>
      </x:c>
      <x:c r="P281" s="4" t="str">
        <x:v>未执行</x:v>
      </x:c>
      <x:c r="Q281" s="19" t="str"/>
      <x:c r="R281" s="12" t="str"/>
      <x:c r="S281" s="12" t="str"/>
      <x:c r="T281" s="4" t="n">
        <x:v>1</x:v>
      </x:c>
      <x:c r="U281" s="4" t="str">
        <x:v>DUT；MODEL-INVENTORY；SCENARIO-TRUTH</x:v>
      </x:c>
      <x:c r="V281" s="4" t="str">
        <x:v>codex-ui-and-evidence</x:v>
      </x:c>
      <x:c r="W281" s="4" t="str"/>
      <x:c r="X281" s="4" t="str"/>
      <x:c r="Y281" s="4" t="str"/>
      <x:c r="Z281" s="4" t="str"/>
      <x:c r="AA281" s="4" t="str"/>
      <x:c r="AB281" s="4" t="str"/>
      <x:c r="AC281" s="4" t="str"/>
    </x:row>
    <x:row r="282" ht="83" customHeight="1">
      <x:c r="A282" s="17" t="str">
        <x:v>ALG-29</x:v>
      </x:c>
      <x:c r="B282" s="17" t="str">
        <x:v>J04/J07/J12</x:v>
      </x:c>
      <x:c r="C282" s="17" t="str">
        <x:v>逐算法业务验收</x:v>
      </x:c>
      <x:c r="D282" s="17" t="str">
        <x:v>P1</x:v>
      </x:c>
      <x:c r="E282" s="17" t="str">
        <x:v>车牌识别（29）完整实例</x:v>
      </x:c>
      <x:c r="F282" s="17" t="str">
        <x:v>目标设备确认该模板适用且依赖模型已安装；每一子试验单独记录；多车牌、清晰/模糊/遮挡/无牌与真实文字</x:v>
      </x:c>
      <x:c r="G282" s="17" t="str">
        <x:v>本地素材筛选＋PRECISION-SERVER待盘点；不足项见资源缺口</x:v>
      </x:c>
      <x:c r="H282" s="17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82" s="17" t="str">
        <x:v>车牌文字及车辆归属逐字符核对；无牌不输出伪文字；所有子试验完成才可给整项结论；图片输出不自动生成视频告警；没有标签/模型记录阻塞。</x:v>
      </x:c>
      <x:c r="J282" s="17" t="str">
        <x:v>停止并删除本轮任务通道与场景；保留失败样本ID；恢复默认参数</x:v>
      </x:c>
      <x:c r="K282" s="17" t="str">
        <x:v>步骤观察、实际结果、证据文件与清理核对</x:v>
      </x:c>
      <x:c r="L282" s="17" t="str">
        <x:v>UI创建配置运行＋事件/结果核对；真值人工复核</x:v>
      </x:c>
      <x:c r="M282" s="17" t="str">
        <x:v>发布全量/算法变更</x:v>
      </x:c>
      <x:c r="N282" s="17" t="str">
        <x:v>仅模板所在平台：bm1688,cv186x,x86；存在配置不代表模型已安装</x:v>
      </x:c>
      <x:c r="O282" s="17" t="str">
        <x:v>data/resource/aiboxresource_bm1688/algorithm_template/29_车牌识别_1783987200.json</x:v>
      </x:c>
      <x:c r="P282" s="17" t="str">
        <x:v>未执行</x:v>
      </x:c>
      <x:c r="Q282" s="19" t="str"/>
      <x:c r="R282" s="17" t="str"/>
      <x:c r="S282" s="17" t="str"/>
      <x:c r="T282" s="17" t="n">
        <x:v>1</x:v>
      </x:c>
      <x:c r="U282" s="17" t="str">
        <x:v>DUT；MODEL-INVENTORY；SCENARIO-TRUTH</x:v>
      </x:c>
      <x:c r="V282" s="17" t="str">
        <x:v>codex-ui-and-evidence</x:v>
      </x:c>
      <x:c r="W282" s="17" t="str"/>
      <x:c r="X282" s="17" t="str"/>
      <x:c r="Y282" s="17" t="str"/>
      <x:c r="Z282" s="17" t="str"/>
      <x:c r="AA282" s="17" t="str"/>
      <x:c r="AB282" s="17" t="str"/>
      <x:c r="AC282" s="17" t="str"/>
    </x:row>
    <x:row r="283" ht="83" customHeight="1">
      <x:c r="A283" s="4" t="str">
        <x:v>ALG-32</x:v>
      </x:c>
      <x:c r="B283" s="4" t="str">
        <x:v>J04/J07/J12</x:v>
      </x:c>
      <x:c r="C283" s="4" t="str">
        <x:v>逐算法业务验收</x:v>
      </x:c>
      <x:c r="D283" s="4" t="str">
        <x:v>P1</x:v>
      </x:c>
      <x:c r="E283" s="4" t="str">
        <x:v>未穿反光衣（32）完整实例</x:v>
      </x:c>
      <x:c r="F283" s="4" t="str">
        <x:v>目标设备确认该模板适用且依赖模型已安装；每一子试验单独记录；未穿反光衣；规范穿着；颜色相近普通衣</x:v>
      </x:c>
      <x:c r="G283" s="4" t="str">
        <x:v>本地素材筛选＋PRECISION-SERVER待盘点；不足项见资源缺口</x:v>
      </x:c>
      <x:c r="H283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83" s="4" t="str">
        <x:v>按标注触发未穿反光衣；颜色相似不是合规证据；所有子试验完成才可给整项结论；图片输出不自动生成视频告警；没有标签/模型记录阻塞。</x:v>
      </x:c>
      <x:c r="J283" s="4" t="str">
        <x:v>停止并删除本轮任务通道与场景；保留失败样本ID；恢复默认参数</x:v>
      </x:c>
      <x:c r="K283" s="4" t="str">
        <x:v>步骤观察、实际结果、证据文件与清理核对</x:v>
      </x:c>
      <x:c r="L283" s="4" t="str">
        <x:v>UI创建配置运行＋事件/结果核对；真值人工复核</x:v>
      </x:c>
      <x:c r="M283" s="4" t="str">
        <x:v>发布全量/算法变更</x:v>
      </x:c>
      <x:c r="N283" s="4" t="str">
        <x:v>仅模板所在平台：bm1688,cv186x,x86；存在配置不代表模型已安装</x:v>
      </x:c>
      <x:c r="O283" s="4" t="str">
        <x:v>data/resource/aiboxresource_bm1688/algorithm_template/32_未穿反光衣_1759134672.json</x:v>
      </x:c>
      <x:c r="P283" s="4" t="str">
        <x:v>未执行</x:v>
      </x:c>
      <x:c r="Q283" s="19" t="str"/>
      <x:c r="R283" s="12" t="str"/>
      <x:c r="S283" s="12" t="str"/>
      <x:c r="T283" s="4" t="n">
        <x:v>1</x:v>
      </x:c>
      <x:c r="U283" s="4" t="str">
        <x:v>DUT；MODEL-INVENTORY；SCENARIO-TRUTH</x:v>
      </x:c>
      <x:c r="V283" s="4" t="str">
        <x:v>codex-ui-and-evidence</x:v>
      </x:c>
      <x:c r="W283" s="4" t="str"/>
      <x:c r="X283" s="4" t="str"/>
      <x:c r="Y283" s="4" t="str"/>
      <x:c r="Z283" s="4" t="str"/>
      <x:c r="AA283" s="4" t="str"/>
      <x:c r="AB283" s="4" t="str"/>
      <x:c r="AC283" s="4" t="str"/>
    </x:row>
    <x:row r="284" ht="83" customHeight="1">
      <x:c r="A284" s="17" t="str">
        <x:v>ALG-51</x:v>
      </x:c>
      <x:c r="B284" s="17" t="str">
        <x:v>J04/J07/J12</x:v>
      </x:c>
      <x:c r="C284" s="17" t="str">
        <x:v>逐算法业务验收</x:v>
      </x:c>
      <x:c r="D284" s="17" t="str">
        <x:v>P1</x:v>
      </x:c>
      <x:c r="E284" s="17" t="str">
        <x:v>区域人数统计（51）完整实例</x:v>
      </x:c>
      <x:c r="F284" s="17" t="str">
        <x:v>目标设备确认该模板适用且依赖模型已安装；每一子试验单独记录；已知人数0/1/N、遮挡和出入</x:v>
      </x:c>
      <x:c r="G284" s="17" t="str">
        <x:v>本地素材筛选＋PRECISION-SERVER待盘点；不足项见资源缺口</x:v>
      </x:c>
      <x:c r="H284" s="17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84" s="17" t="str">
        <x:v>区域当前人数与真值对齐；统计周期和轨迹去重准确；所有子试验完成才可给整项结论；图片输出不自动生成视频告警；没有标签/模型记录阻塞。</x:v>
      </x:c>
      <x:c r="J284" s="17" t="str">
        <x:v>停止并删除本轮任务通道与场景；保留失败样本ID；恢复默认参数</x:v>
      </x:c>
      <x:c r="K284" s="17" t="str">
        <x:v>步骤观察、实际结果、证据文件与清理核对</x:v>
      </x:c>
      <x:c r="L284" s="17" t="str">
        <x:v>UI创建配置运行＋事件/结果核对；真值人工复核</x:v>
      </x:c>
      <x:c r="M284" s="17" t="str">
        <x:v>发布全量/算法变更</x:v>
      </x:c>
      <x:c r="N284" s="17" t="str">
        <x:v>仅模板所在平台：bm1688,cv186x,x86；存在配置不代表模型已安装</x:v>
      </x:c>
      <x:c r="O284" s="17" t="str">
        <x:v>data/resource/aiboxresource_bm1688/algorithm_template/51_区域人数统计_1759134672.json</x:v>
      </x:c>
      <x:c r="P284" s="17" t="str">
        <x:v>未执行</x:v>
      </x:c>
      <x:c r="Q284" s="19" t="str"/>
      <x:c r="R284" s="17" t="str"/>
      <x:c r="S284" s="17" t="str"/>
      <x:c r="T284" s="17" t="n">
        <x:v>1</x:v>
      </x:c>
      <x:c r="U284" s="17" t="str">
        <x:v>DUT；MODEL-INVENTORY；SCENARIO-TRUTH</x:v>
      </x:c>
      <x:c r="V284" s="17" t="str">
        <x:v>codex-ui-and-evidence</x:v>
      </x:c>
      <x:c r="W284" s="17" t="str"/>
      <x:c r="X284" s="17" t="str"/>
      <x:c r="Y284" s="17" t="str"/>
      <x:c r="Z284" s="17" t="str"/>
      <x:c r="AA284" s="17" t="str"/>
      <x:c r="AB284" s="17" t="str"/>
      <x:c r="AC284" s="17" t="str"/>
    </x:row>
    <x:row r="285" ht="83" customHeight="1">
      <x:c r="A285" s="4" t="str">
        <x:v>ALG-57</x:v>
      </x:c>
      <x:c r="B285" s="4" t="str">
        <x:v>J04/J07/J12</x:v>
      </x:c>
      <x:c r="C285" s="4" t="str">
        <x:v>逐算法业务验收</x:v>
      </x:c>
      <x:c r="D285" s="4" t="str">
        <x:v>P1</x:v>
      </x:c>
      <x:c r="E285" s="4" t="str">
        <x:v>绊线检测（57）完整实例</x:v>
      </x:c>
      <x:c r="F285" s="4" t="str">
        <x:v>目标设备确认该模板适用且依赖模型已安装；每一子试验单独记录；正向/逆向跨线、沿线、徘徊</x:v>
      </x:c>
      <x:c r="G285" s="4" t="str">
        <x:v>本地素材筛选＋PRECISION-SERVER待盘点；不足项见资源缺口</x:v>
      </x:c>
      <x:c r="H285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85" s="4" t="str">
        <x:v>方向和触发次数符合配置；不以静态图片代替跨线时序；所有子试验完成才可给整项结论；图片输出不自动生成视频告警；没有标签/模型记录阻塞。</x:v>
      </x:c>
      <x:c r="J285" s="4" t="str">
        <x:v>停止并删除本轮任务通道与场景；保留失败样本ID；恢复默认参数</x:v>
      </x:c>
      <x:c r="K285" s="4" t="str">
        <x:v>步骤观察、实际结果、证据文件与清理核对</x:v>
      </x:c>
      <x:c r="L285" s="4" t="str">
        <x:v>UI创建配置运行＋事件/结果核对；真值人工复核</x:v>
      </x:c>
      <x:c r="M285" s="4" t="str">
        <x:v>发布全量/算法变更</x:v>
      </x:c>
      <x:c r="N285" s="4" t="str">
        <x:v>仅模板所在平台：bm1688,cv186x,x86；存在配置不代表模型已安装</x:v>
      </x:c>
      <x:c r="O285" s="4" t="str">
        <x:v>data/resource/aiboxresource_bm1688/algorithm_template/57_绊线检测_1759134672.json</x:v>
      </x:c>
      <x:c r="P285" s="4" t="str">
        <x:v>未执行</x:v>
      </x:c>
      <x:c r="Q285" s="19" t="str"/>
      <x:c r="R285" s="12" t="str"/>
      <x:c r="S285" s="12" t="str"/>
      <x:c r="T285" s="4" t="n">
        <x:v>1</x:v>
      </x:c>
      <x:c r="U285" s="4" t="str">
        <x:v>DUT；MODEL-INVENTORY；SCENARIO-TRUTH</x:v>
      </x:c>
      <x:c r="V285" s="4" t="str">
        <x:v>codex-ui-and-evidence</x:v>
      </x:c>
      <x:c r="W285" s="4" t="str"/>
      <x:c r="X285" s="4" t="str"/>
      <x:c r="Y285" s="4" t="str"/>
      <x:c r="Z285" s="4" t="str"/>
      <x:c r="AA285" s="4" t="str"/>
      <x:c r="AB285" s="4" t="str"/>
      <x:c r="AC285" s="4" t="str"/>
    </x:row>
    <x:row r="286" ht="83" customHeight="1">
      <x:c r="A286" s="17" t="str">
        <x:v>ALG-58</x:v>
      </x:c>
      <x:c r="B286" s="17" t="str">
        <x:v>J04/J07/J12</x:v>
      </x:c>
      <x:c r="C286" s="17" t="str">
        <x:v>逐算法业务验收</x:v>
      </x:c>
      <x:c r="D286" s="17" t="str">
        <x:v>P0</x:v>
      </x:c>
      <x:c r="E286" s="17" t="str">
        <x:v>未穿工服（58）完整实例</x:v>
      </x:c>
      <x:c r="F286" s="17" t="str">
        <x:v>目标设备确认该模板适用且依赖模型已安装；每一子试验单独记录；同服异人、异服同人、背景相似、空有效库</x:v>
      </x:c>
      <x:c r="G286" s="17" t="str">
        <x:v>本地素材筛选＋PRECISION-SERVER待盘点；不足项见资源缺口</x:v>
      </x:c>
      <x:c r="H286" s="17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86" s="17" t="str">
        <x:v>有效工服库命中时未穿工服未命中；空有效库无法判断；所有子试验完成才可给整项结论；图片输出不自动生成视频告警；没有标签/模型记录阻塞。</x:v>
      </x:c>
      <x:c r="J286" s="17" t="str">
        <x:v>停止并删除本轮任务通道与场景；保留失败样本ID；恢复默认参数</x:v>
      </x:c>
      <x:c r="K286" s="17" t="str">
        <x:v>步骤观察、实际结果、证据文件与清理核对</x:v>
      </x:c>
      <x:c r="L286" s="17" t="str">
        <x:v>UI创建配置运行＋事件/结果核对；真值人工复核</x:v>
      </x:c>
      <x:c r="M286" s="17" t="str">
        <x:v>发布全量/算法变更</x:v>
      </x:c>
      <x:c r="N286" s="17" t="str">
        <x:v>仅模板所在平台：bm1688,cv186x,x86；存在配置不代表模型已安装</x:v>
      </x:c>
      <x:c r="O286" s="17" t="str">
        <x:v>data/resource/aiboxresource_bm1688/algorithm_template/58_未穿工服_1759134672.json</x:v>
      </x:c>
      <x:c r="P286" s="17" t="str">
        <x:v>未执行</x:v>
      </x:c>
      <x:c r="Q286" s="19" t="str"/>
      <x:c r="R286" s="17" t="str"/>
      <x:c r="S286" s="17" t="str"/>
      <x:c r="T286" s="17" t="n">
        <x:v>1</x:v>
      </x:c>
      <x:c r="U286" s="17" t="str">
        <x:v>DUT；MODEL-INVENTORY；UNIFORM-TRUTH</x:v>
      </x:c>
      <x:c r="V286" s="17" t="str">
        <x:v>codex-ui-and-evidence</x:v>
      </x:c>
      <x:c r="W286" s="17" t="str"/>
      <x:c r="X286" s="17" t="str"/>
      <x:c r="Y286" s="17" t="str"/>
      <x:c r="Z286" s="17" t="str"/>
      <x:c r="AA286" s="17" t="str"/>
      <x:c r="AB286" s="17" t="str"/>
      <x:c r="AC286" s="17" t="str"/>
    </x:row>
    <x:row r="287" ht="83" customHeight="1">
      <x:c r="A287" s="4" t="str">
        <x:v>ALG-65</x:v>
      </x:c>
      <x:c r="B287" s="4" t="str">
        <x:v>J04/J07/J12</x:v>
      </x:c>
      <x:c r="C287" s="4" t="str">
        <x:v>逐算法业务验收</x:v>
      </x:c>
      <x:c r="D287" s="4" t="str">
        <x:v>P1</x:v>
      </x:c>
      <x:c r="E287" s="4" t="str">
        <x:v>睡岗检测（65）完整实例</x:v>
      </x:c>
      <x:c r="F287" s="4" t="str">
        <x:v>目标设备确认该模板适用且依赖模型已安装；每一子试验单独记录；睡岗、正常低头阅读、短时闭眼</x:v>
      </x:c>
      <x:c r="G287" s="4" t="str">
        <x:v>本地素材筛选＋PRECISION-SERVER待盘点；不足项见资源缺口</x:v>
      </x:c>
      <x:c r="H287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87" s="4" t="str">
        <x:v>按场景定义标注睡岗；困难负例独立报告；所有子试验完成才可给整项结论；图片输出不自动生成视频告警；没有标签/模型记录阻塞。</x:v>
      </x:c>
      <x:c r="J287" s="4" t="str">
        <x:v>停止并删除本轮任务通道与场景；保留失败样本ID；恢复默认参数</x:v>
      </x:c>
      <x:c r="K287" s="4" t="str">
        <x:v>步骤观察、实际结果、证据文件与清理核对</x:v>
      </x:c>
      <x:c r="L287" s="4" t="str">
        <x:v>UI创建配置运行＋事件/结果核对；真值人工复核</x:v>
      </x:c>
      <x:c r="M287" s="4" t="str">
        <x:v>发布全量/算法变更</x:v>
      </x:c>
      <x:c r="N287" s="4" t="str">
        <x:v>仅模板所在平台：bm1688,cv186x,x86；存在配置不代表模型已安装</x:v>
      </x:c>
      <x:c r="O287" s="4" t="str">
        <x:v>data/resource/aiboxresource_bm1688/algorithm_template/65_睡岗检测_1759134672.json</x:v>
      </x:c>
      <x:c r="P287" s="4" t="str">
        <x:v>未执行</x:v>
      </x:c>
      <x:c r="Q287" s="19" t="str"/>
      <x:c r="R287" s="12" t="str"/>
      <x:c r="S287" s="12" t="str"/>
      <x:c r="T287" s="4" t="n">
        <x:v>1</x:v>
      </x:c>
      <x:c r="U287" s="4" t="str">
        <x:v>DUT；MODEL-INVENTORY；SCENARIO-TRUTH</x:v>
      </x:c>
      <x:c r="V287" s="4" t="str">
        <x:v>codex-ui-and-evidence</x:v>
      </x:c>
      <x:c r="W287" s="4" t="str"/>
      <x:c r="X287" s="4" t="str"/>
      <x:c r="Y287" s="4" t="str"/>
      <x:c r="Z287" s="4" t="str"/>
      <x:c r="AA287" s="4" t="str"/>
      <x:c r="AB287" s="4" t="str"/>
      <x:c r="AC287" s="4" t="str"/>
    </x:row>
    <x:row r="288" ht="83" customHeight="1">
      <x:c r="A288" s="17" t="str">
        <x:v>ALG-2935</x:v>
      </x:c>
      <x:c r="B288" s="17" t="str">
        <x:v>J04/J07/J12</x:v>
      </x:c>
      <x:c r="C288" s="17" t="str">
        <x:v>逐算法业务验收</x:v>
      </x:c>
      <x:c r="D288" s="17" t="str">
        <x:v>P1</x:v>
      </x:c>
      <x:c r="E288" s="17" t="str">
        <x:v>检测大模型（2935）完整实例</x:v>
      </x:c>
      <x:c r="F288" s="17" t="str">
        <x:v>目标设备确认该模板适用且依赖模型已安装；每一子试验单独记录；冻结英文目标词；目标存在/不存在及近义干扰</x:v>
      </x:c>
      <x:c r="G288" s="17" t="str">
        <x:v>本地素材筛选＋PRECISION-SERVER待盘点；不足项见资源缺口</x:v>
      </x:c>
      <x:c r="H288" s="17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88" s="17" t="str">
        <x:v>开放词汇检测框与词义位置一致；不存在目标不伪造框；所有子试验完成才可给整项结论；图片输出不自动生成视频告警；没有标签/模型记录阻塞。</x:v>
      </x:c>
      <x:c r="J288" s="17" t="str">
        <x:v>停止并删除本轮任务通道与场景；保留失败样本ID；恢复默认参数</x:v>
      </x:c>
      <x:c r="K288" s="17" t="str">
        <x:v>步骤观察、实际结果、证据文件与清理核对</x:v>
      </x:c>
      <x:c r="L288" s="17" t="str">
        <x:v>UI创建配置运行＋事件/结果核对；真值人工复核</x:v>
      </x:c>
      <x:c r="M288" s="17" t="str">
        <x:v>发布全量/算法变更</x:v>
      </x:c>
      <x:c r="N288" s="17" t="str">
        <x:v>仅模板所在平台：bm1688,cv186x,x86；存在配置不代表模型已安装</x:v>
      </x:c>
      <x:c r="O288" s="17" t="str">
        <x:v>data/resource/aiboxresource_bm1688/algorithm_template/2935_检测大模型_20260413173822.json</x:v>
      </x:c>
      <x:c r="P288" s="17" t="str">
        <x:v>未执行</x:v>
      </x:c>
      <x:c r="Q288" s="19" t="str"/>
      <x:c r="R288" s="17" t="str"/>
      <x:c r="S288" s="17" t="str"/>
      <x:c r="T288" s="17" t="n">
        <x:v>1</x:v>
      </x:c>
      <x:c r="U288" s="17" t="str">
        <x:v>DUT；MODEL-INVENTORY；SCENARIO-TRUTH</x:v>
      </x:c>
      <x:c r="V288" s="17" t="str">
        <x:v>codex-ui-and-evidence</x:v>
      </x:c>
      <x:c r="W288" s="17" t="str"/>
      <x:c r="X288" s="17" t="str"/>
      <x:c r="Y288" s="17" t="str"/>
      <x:c r="Z288" s="17" t="str"/>
      <x:c r="AA288" s="17" t="str"/>
      <x:c r="AB288" s="17" t="str"/>
      <x:c r="AC288" s="17" t="str"/>
    </x:row>
    <x:row r="289" ht="83" customHeight="1">
      <x:c r="A289" s="4" t="str">
        <x:v>ALG-7602</x:v>
      </x:c>
      <x:c r="B289" s="4" t="str">
        <x:v>J04/J07/J12</x:v>
      </x:c>
      <x:c r="C289" s="4" t="str">
        <x:v>逐算法业务验收</x:v>
      </x:c>
      <x:c r="D289" s="4" t="str">
        <x:v>P1</x:v>
      </x:c>
      <x:c r="E289" s="4" t="str">
        <x:v>人脸识别算法（7602）完整实例</x:v>
      </x:c>
      <x:c r="F289" s="4" t="str">
        <x:v>目标设备确认该模板适用且依赖模型已安装；每一子试验单独记录；已知/未知人及单脸、多脸、遮挡视频</x:v>
      </x:c>
      <x:c r="G289" s="4" t="str">
        <x:v>本地素材筛选＋PRECISION-SERVER待盘点；不足项见资源缺口</x:v>
      </x:c>
      <x:c r="H289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89" s="4" t="str">
        <x:v>检测关键点特征识别链逐段有效；身份结果和真值一致；所有子试验完成才可给整项结论；图片输出不自动生成视频告警；没有标签/模型记录阻塞。</x:v>
      </x:c>
      <x:c r="J289" s="4" t="str">
        <x:v>停止并删除本轮任务通道与场景；保留失败样本ID；恢复默认参数</x:v>
      </x:c>
      <x:c r="K289" s="4" t="str">
        <x:v>步骤观察、实际结果、证据文件与清理核对</x:v>
      </x:c>
      <x:c r="L289" s="4" t="str">
        <x:v>UI创建配置运行＋事件/结果核对；真值人工复核</x:v>
      </x:c>
      <x:c r="M289" s="4" t="str">
        <x:v>发布全量/算法变更</x:v>
      </x:c>
      <x:c r="N289" s="4" t="str">
        <x:v>仅模板所在平台：bm1688,cv186x,x86；存在配置不代表模型已安装</x:v>
      </x:c>
      <x:c r="O289" s="4" t="str">
        <x:v>data/resource/aiboxresource_bm1688/algorithm_template/7602_人脸识别算法_20260422103647.json</x:v>
      </x:c>
      <x:c r="P289" s="4" t="str">
        <x:v>未执行</x:v>
      </x:c>
      <x:c r="Q289" s="19" t="str"/>
      <x:c r="R289" s="12" t="str"/>
      <x:c r="S289" s="12" t="str"/>
      <x:c r="T289" s="4" t="n">
        <x:v>1</x:v>
      </x:c>
      <x:c r="U289" s="4" t="str">
        <x:v>DUT；MODEL-INVENTORY；FACE-TRUTH；FACE-VIDEO</x:v>
      </x:c>
      <x:c r="V289" s="4" t="str">
        <x:v>codex-ui-and-evidence</x:v>
      </x:c>
      <x:c r="W289" s="4" t="str"/>
      <x:c r="X289" s="4" t="str"/>
      <x:c r="Y289" s="4" t="str"/>
      <x:c r="Z289" s="4" t="str"/>
      <x:c r="AA289" s="4" t="str"/>
      <x:c r="AB289" s="4" t="str"/>
      <x:c r="AC289" s="4" t="str"/>
    </x:row>
    <x:row r="290" ht="83" customHeight="1">
      <x:c r="A290" s="17" t="str">
        <x:v>ALG-8533</x:v>
      </x:c>
      <x:c r="B290" s="17" t="str">
        <x:v>J04/J07/J12</x:v>
      </x:c>
      <x:c r="C290" s="17" t="str">
        <x:v>逐算法业务验收</x:v>
      </x:c>
      <x:c r="D290" s="17" t="str">
        <x:v>P1</x:v>
      </x:c>
      <x:c r="E290" s="17" t="str">
        <x:v>视觉检测大模型分析（8533）完整实例</x:v>
      </x:c>
      <x:c r="F290" s="17" t="str">
        <x:v>目标设备确认该模板适用且依赖模型已安装；每一子试验单独记录；冻结目标词及正负困难视频</x:v>
      </x:c>
      <x:c r="G290" s="17" t="str">
        <x:v>本地素材筛选＋PRECISION-SERVER待盘点；不足项见资源缺口</x:v>
      </x:c>
      <x:c r="H290" s="17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90" s="17" t="str">
        <x:v>检测大模型结果可追溯提示词模型和目标位置；所有子试验完成才可给整项结论；图片输出不自动生成视频告警；没有标签/模型记录阻塞。</x:v>
      </x:c>
      <x:c r="J290" s="17" t="str">
        <x:v>停止并删除本轮任务通道与场景；保留失败样本ID；恢复默认参数</x:v>
      </x:c>
      <x:c r="K290" s="17" t="str">
        <x:v>步骤观察、实际结果、证据文件与清理核对</x:v>
      </x:c>
      <x:c r="L290" s="17" t="str">
        <x:v>UI创建配置运行＋事件/结果核对；真值人工复核</x:v>
      </x:c>
      <x:c r="M290" s="17" t="str">
        <x:v>发布全量/算法变更</x:v>
      </x:c>
      <x:c r="N290" s="17" t="str">
        <x:v>仅模板所在平台：bm1688,cv186x,x86；存在配置不代表模型已安装</x:v>
      </x:c>
      <x:c r="O290" s="17" t="str">
        <x:v>data/resource/aiboxresource_bm1688/algorithm_template/8533_视觉检测大模型分析_20260413175828.json</x:v>
      </x:c>
      <x:c r="P290" s="17" t="str">
        <x:v>未执行</x:v>
      </x:c>
      <x:c r="Q290" s="19" t="str"/>
      <x:c r="R290" s="17" t="str"/>
      <x:c r="S290" s="17" t="str"/>
      <x:c r="T290" s="17" t="n">
        <x:v>1</x:v>
      </x:c>
      <x:c r="U290" s="17" t="str">
        <x:v>DUT；MODEL-INVENTORY；SCENARIO-TRUTH</x:v>
      </x:c>
      <x:c r="V290" s="17" t="str">
        <x:v>codex-ui-and-evidence</x:v>
      </x:c>
      <x:c r="W290" s="17" t="str"/>
      <x:c r="X290" s="17" t="str"/>
      <x:c r="Y290" s="17" t="str"/>
      <x:c r="Z290" s="17" t="str"/>
      <x:c r="AA290" s="17" t="str"/>
      <x:c r="AB290" s="17" t="str"/>
      <x:c r="AC290" s="17" t="str"/>
    </x:row>
    <x:row r="291" ht="83" customHeight="1">
      <x:c r="A291" s="4" t="str">
        <x:v>ALG-15760</x:v>
      </x:c>
      <x:c r="B291" s="4" t="str">
        <x:v>J04/J07/J12</x:v>
      </x:c>
      <x:c r="C291" s="4" t="str">
        <x:v>逐算法业务验收</x:v>
      </x:c>
      <x:c r="D291" s="4" t="str">
        <x:v>P1</x:v>
      </x:c>
      <x:c r="E291" s="4" t="str">
        <x:v>分割大模型（15760）完整实例</x:v>
      </x:c>
      <x:c r="F291" s="4" t="str">
        <x:v>目标设备确认该模板适用且依赖模型已安装；每一子试验单独记录；明确物体掩码与背景负例</x:v>
      </x:c>
      <x:c r="G291" s="4" t="str">
        <x:v>本地素材筛选＋PRECISION-SERVER待盘点；不足项见资源缺口</x:v>
      </x:c>
      <x:c r="H291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91" s="4" t="str">
        <x:v>分割结果与像素真值或人工轮廓核对；无掩码真值只验流程；所有子试验完成才可给整项结论；图片输出不自动生成视频告警；没有标签/模型记录阻塞。</x:v>
      </x:c>
      <x:c r="J291" s="4" t="str">
        <x:v>停止并删除本轮任务通道与场景；保留失败样本ID；恢复默认参数</x:v>
      </x:c>
      <x:c r="K291" s="4" t="str">
        <x:v>步骤观察、实际结果、证据文件与清理核对</x:v>
      </x:c>
      <x:c r="L291" s="4" t="str">
        <x:v>UI创建配置运行＋事件/结果核对；真值人工复核</x:v>
      </x:c>
      <x:c r="M291" s="4" t="str">
        <x:v>发布全量/算法变更</x:v>
      </x:c>
      <x:c r="N291" s="4" t="str">
        <x:v>仅模板所在平台：bm1688,cv186x,x86；存在配置不代表模型已安装</x:v>
      </x:c>
      <x:c r="O291" s="4" t="str">
        <x:v>data/resource/aiboxresource_bm1688/algorithm_template/15760_分割大模型_20260413173835.json</x:v>
      </x:c>
      <x:c r="P291" s="4" t="str">
        <x:v>未执行</x:v>
      </x:c>
      <x:c r="Q291" s="19" t="str"/>
      <x:c r="R291" s="12" t="str"/>
      <x:c r="S291" s="12" t="str"/>
      <x:c r="T291" s="4" t="n">
        <x:v>1</x:v>
      </x:c>
      <x:c r="U291" s="4" t="str">
        <x:v>DUT；MODEL-INVENTORY；SCENARIO-TRUTH</x:v>
      </x:c>
      <x:c r="V291" s="4" t="str">
        <x:v>codex-ui-and-evidence</x:v>
      </x:c>
      <x:c r="W291" s="4" t="str"/>
      <x:c r="X291" s="4" t="str"/>
      <x:c r="Y291" s="4" t="str"/>
      <x:c r="Z291" s="4" t="str"/>
      <x:c r="AA291" s="4" t="str"/>
      <x:c r="AB291" s="4" t="str"/>
      <x:c r="AC291" s="4" t="str"/>
    </x:row>
    <x:row r="292" ht="83" customHeight="1">
      <x:c r="A292" s="17" t="str">
        <x:v>ALG-21283</x:v>
      </x:c>
      <x:c r="B292" s="17" t="str">
        <x:v>J04/J07/J12</x:v>
      </x:c>
      <x:c r="C292" s="17" t="str">
        <x:v>逐算法业务验收</x:v>
      </x:c>
      <x:c r="D292" s="17" t="str">
        <x:v>P1</x:v>
      </x:c>
      <x:c r="E292" s="17" t="str">
        <x:v>视觉分割大模型分析（21283）完整实例</x:v>
      </x:c>
      <x:c r="F292" s="17" t="str">
        <x:v>目标设备确认该模板适用且依赖模型已安装；每一子试验单独记录；冻结提示词和框/点提示；对应掩码</x:v>
      </x:c>
      <x:c r="G292" s="17" t="str">
        <x:v>本地素材筛选＋PRECISION-SERVER待盘点；不足项见资源缺口</x:v>
      </x:c>
      <x:c r="H292" s="17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92" s="17" t="str">
        <x:v>大模型分割输出与提示目标一致；缺模型或超时明确失败；所有子试验完成才可给整项结论；图片输出不自动生成视频告警；没有标签/模型记录阻塞。</x:v>
      </x:c>
      <x:c r="J292" s="17" t="str">
        <x:v>停止并删除本轮任务通道与场景；保留失败样本ID；恢复默认参数</x:v>
      </x:c>
      <x:c r="K292" s="17" t="str">
        <x:v>步骤观察、实际结果、证据文件与清理核对</x:v>
      </x:c>
      <x:c r="L292" s="17" t="str">
        <x:v>UI创建配置运行＋事件/结果核对；真值人工复核</x:v>
      </x:c>
      <x:c r="M292" s="17" t="str">
        <x:v>发布全量/算法变更</x:v>
      </x:c>
      <x:c r="N292" s="17" t="str">
        <x:v>仅模板所在平台：bm1688,cv186x,x86；存在配置不代表模型已安装</x:v>
      </x:c>
      <x:c r="O292" s="17" t="str">
        <x:v>data/resource/aiboxresource_bm1688/algorithm_template/21283_视觉分割大模型分析_20260413175841.json</x:v>
      </x:c>
      <x:c r="P292" s="17" t="str">
        <x:v>未执行</x:v>
      </x:c>
      <x:c r="Q292" s="19" t="str"/>
      <x:c r="R292" s="17" t="str"/>
      <x:c r="S292" s="17" t="str"/>
      <x:c r="T292" s="17" t="n">
        <x:v>1</x:v>
      </x:c>
      <x:c r="U292" s="17" t="str">
        <x:v>DUT；MODEL-INVENTORY；SCENARIO-TRUTH</x:v>
      </x:c>
      <x:c r="V292" s="17" t="str">
        <x:v>codex-ui-and-evidence</x:v>
      </x:c>
      <x:c r="W292" s="17" t="str"/>
      <x:c r="X292" s="17" t="str"/>
      <x:c r="Y292" s="17" t="str"/>
      <x:c r="Z292" s="17" t="str"/>
      <x:c r="AA292" s="17" t="str"/>
      <x:c r="AB292" s="17" t="str"/>
      <x:c r="AC292" s="17" t="str"/>
    </x:row>
    <x:row r="293" ht="83" customHeight="1">
      <x:c r="A293" s="4" t="str">
        <x:v>ALG-34707</x:v>
      </x:c>
      <x:c r="B293" s="4" t="str">
        <x:v>J04/J07/J12</x:v>
      </x:c>
      <x:c r="C293" s="4" t="str">
        <x:v>逐算法业务验收</x:v>
      </x:c>
      <x:c r="D293" s="4" t="str">
        <x:v>P1</x:v>
      </x:c>
      <x:c r="E293" s="4" t="str">
        <x:v>视觉语言大模型分析（34707）完整实例</x:v>
      </x:c>
      <x:c r="F293" s="4" t="str">
        <x:v>目标设备确认该模板适用且依赖模型已安装；每一子试验单独记录；冻结业务问题；成立/不成立/信息不足图片或片段</x:v>
      </x:c>
      <x:c r="G293" s="4" t="str">
        <x:v>本地素材筛选＋PRECISION-SERVER待盘点；不足项见资源缺口</x:v>
      </x:c>
      <x:c r="H293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93" s="4" t="str">
        <x:v>按预先标注的答案语义评分；拒答/无法判断/超时分开；所有子试验完成才可给整项结论；图片输出不自动生成视频告警；没有标签/模型记录阻塞。</x:v>
      </x:c>
      <x:c r="J293" s="4" t="str">
        <x:v>停止并删除本轮任务通道与场景；保留失败样本ID；恢复默认参数</x:v>
      </x:c>
      <x:c r="K293" s="4" t="str">
        <x:v>步骤观察、实际结果、证据文件与清理核对</x:v>
      </x:c>
      <x:c r="L293" s="4" t="str">
        <x:v>UI创建配置运行＋事件/结果核对；真值人工复核</x:v>
      </x:c>
      <x:c r="M293" s="4" t="str">
        <x:v>发布全量/算法变更</x:v>
      </x:c>
      <x:c r="N293" s="4" t="str">
        <x:v>仅模板所在平台：bm1688,cv186x,x86；存在配置不代表模型已安装</x:v>
      </x:c>
      <x:c r="O293" s="4" t="str">
        <x:v>data/resource/aiboxresource_bm1688/algorithm_template/34707_视觉语言大模型分析_20260413175854.json</x:v>
      </x:c>
      <x:c r="P293" s="4" t="str">
        <x:v>未执行</x:v>
      </x:c>
      <x:c r="Q293" s="19" t="str"/>
      <x:c r="R293" s="12" t="str"/>
      <x:c r="S293" s="12" t="str"/>
      <x:c r="T293" s="4" t="n">
        <x:v>1</x:v>
      </x:c>
      <x:c r="U293" s="4" t="str">
        <x:v>DUT；MODEL-INVENTORY；SCENARIO-TRUTH</x:v>
      </x:c>
      <x:c r="V293" s="4" t="str">
        <x:v>codex-ui-and-evidence</x:v>
      </x:c>
      <x:c r="W293" s="4" t="str"/>
      <x:c r="X293" s="4" t="str"/>
      <x:c r="Y293" s="4" t="str"/>
      <x:c r="Z293" s="4" t="str"/>
      <x:c r="AA293" s="4" t="str"/>
      <x:c r="AB293" s="4" t="str"/>
      <x:c r="AC293" s="4" t="str"/>
    </x:row>
    <x:row r="294" ht="83" customHeight="1">
      <x:c r="A294" s="17" t="str">
        <x:v>ALG-38873</x:v>
      </x:c>
      <x:c r="B294" s="17" t="str">
        <x:v>J04/J07/J12</x:v>
      </x:c>
      <x:c r="C294" s="17" t="str">
        <x:v>逐算法业务验收</x:v>
      </x:c>
      <x:c r="D294" s="17" t="str">
        <x:v>P1</x:v>
      </x:c>
      <x:c r="E294" s="17" t="str">
        <x:v>检测类算法（38873）完整实例</x:v>
      </x:c>
      <x:c r="F294" s="17" t="str">
        <x:v>目标设备确认该模板适用且依赖模型已安装；每一子试验单独记录；目标类正例、空场和相似类别</x:v>
      </x:c>
      <x:c r="G294" s="17" t="str">
        <x:v>本地素材筛选＋PRECISION-SERVER待盘点；不足项见资源缺口</x:v>
      </x:c>
      <x:c r="H294" s="17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94" s="17" t="str">
        <x:v>类别、框和置信度与固定模型标签契约一致；所有子试验完成才可给整项结论；图片输出不自动生成视频告警；没有标签/模型记录阻塞。</x:v>
      </x:c>
      <x:c r="J294" s="17" t="str">
        <x:v>停止并删除本轮任务通道与场景；保留失败样本ID；恢复默认参数</x:v>
      </x:c>
      <x:c r="K294" s="17" t="str">
        <x:v>步骤观察、实际结果、证据文件与清理核对</x:v>
      </x:c>
      <x:c r="L294" s="17" t="str">
        <x:v>UI创建配置运行＋事件/结果核对；真值人工复核</x:v>
      </x:c>
      <x:c r="M294" s="17" t="str">
        <x:v>发布全量/算法变更</x:v>
      </x:c>
      <x:c r="N294" s="17" t="str">
        <x:v>仅模板所在平台：bm1688,cv186x,x86；存在配置不代表模型已安装</x:v>
      </x:c>
      <x:c r="O294" s="17" t="str">
        <x:v>data/resource/aiboxresource_bm1688/algorithm_template/38873_检测类算法_20260413173858.json</x:v>
      </x:c>
      <x:c r="P294" s="17" t="str">
        <x:v>未执行</x:v>
      </x:c>
      <x:c r="Q294" s="19" t="str"/>
      <x:c r="R294" s="17" t="str"/>
      <x:c r="S294" s="17" t="str"/>
      <x:c r="T294" s="17" t="n">
        <x:v>1</x:v>
      </x:c>
      <x:c r="U294" s="17" t="str">
        <x:v>DUT；MODEL-INVENTORY；SCENARIO-TRUTH</x:v>
      </x:c>
      <x:c r="V294" s="17" t="str">
        <x:v>codex-ui-and-evidence</x:v>
      </x:c>
      <x:c r="W294" s="17" t="str"/>
      <x:c r="X294" s="17" t="str"/>
      <x:c r="Y294" s="17" t="str"/>
      <x:c r="Z294" s="17" t="str"/>
      <x:c r="AA294" s="17" t="str"/>
      <x:c r="AB294" s="17" t="str"/>
      <x:c r="AC294" s="17" t="str"/>
    </x:row>
    <x:row r="295" ht="83" customHeight="1">
      <x:c r="A295" s="4" t="str">
        <x:v>ALG-77380</x:v>
      </x:c>
      <x:c r="B295" s="4" t="str">
        <x:v>J04/J07/J12</x:v>
      </x:c>
      <x:c r="C295" s="4" t="str">
        <x:v>逐算法业务验收</x:v>
      </x:c>
      <x:c r="D295" s="4" t="str">
        <x:v>P1</x:v>
      </x:c>
      <x:c r="E295" s="4" t="str">
        <x:v>检测后分类算法（77380）完整实例</x:v>
      </x:c>
      <x:c r="F295" s="4" t="str">
        <x:v>目标设备确认该模板适用且依赖模型已安装；每一子试验单独记录；检测目标及其分类真值，易混淆类别</x:v>
      </x:c>
      <x:c r="G295" s="4" t="str">
        <x:v>本地素材筛选＋PRECISION-SERVER待盘点；不足项见资源缺口</x:v>
      </x:c>
      <x:c r="H295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95" s="4" t="str">
        <x:v>先检测后分类；分类对应同一裁剪目标；漏检与错分类分开；所有子试验完成才可给整项结论；图片输出不自动生成视频告警；没有标签/模型记录阻塞。</x:v>
      </x:c>
      <x:c r="J295" s="4" t="str">
        <x:v>停止并删除本轮任务通道与场景；保留失败样本ID；恢复默认参数</x:v>
      </x:c>
      <x:c r="K295" s="4" t="str">
        <x:v>步骤观察、实际结果、证据文件与清理核对</x:v>
      </x:c>
      <x:c r="L295" s="4" t="str">
        <x:v>UI创建配置运行＋事件/结果核对；真值人工复核</x:v>
      </x:c>
      <x:c r="M295" s="4" t="str">
        <x:v>发布全量/算法变更</x:v>
      </x:c>
      <x:c r="N295" s="4" t="str">
        <x:v>仅模板所在平台：bm1688,cv186x,x86；存在配置不代表模型已安装</x:v>
      </x:c>
      <x:c r="O295" s="4" t="str">
        <x:v>data/resource/aiboxresource_bm1688/algorithm_template/77380_检测后分类算法_20260414160117.json</x:v>
      </x:c>
      <x:c r="P295" s="4" t="str">
        <x:v>未执行</x:v>
      </x:c>
      <x:c r="Q295" s="19" t="str"/>
      <x:c r="R295" s="12" t="str"/>
      <x:c r="S295" s="12" t="str"/>
      <x:c r="T295" s="4" t="n">
        <x:v>1</x:v>
      </x:c>
      <x:c r="U295" s="4" t="str">
        <x:v>DUT；MODEL-INVENTORY；SCENARIO-TRUTH</x:v>
      </x:c>
      <x:c r="V295" s="4" t="str">
        <x:v>codex-ui-and-evidence</x:v>
      </x:c>
      <x:c r="W295" s="4" t="str"/>
      <x:c r="X295" s="4" t="str"/>
      <x:c r="Y295" s="4" t="str"/>
      <x:c r="Z295" s="4" t="str"/>
      <x:c r="AA295" s="4" t="str"/>
      <x:c r="AB295" s="4" t="str"/>
      <x:c r="AC295" s="4" t="str"/>
    </x:row>
    <x:row r="296" ht="83" customHeight="1">
      <x:c r="A296" s="17" t="str">
        <x:v>ALG-82819</x:v>
      </x:c>
      <x:c r="B296" s="17" t="str">
        <x:v>J04/J07/J12</x:v>
      </x:c>
      <x:c r="C296" s="17" t="str">
        <x:v>逐算法业务验收</x:v>
      </x:c>
      <x:c r="D296" s="17" t="str">
        <x:v>P1</x:v>
      </x:c>
      <x:c r="E296" s="17" t="str">
        <x:v>检测后分割算法（82819）完整实例</x:v>
      </x:c>
      <x:c r="F296" s="17" t="str">
        <x:v>目标设备确认该模板适用且依赖模型已安装；每一子试验单独记录；多目标检测框和对应掩码</x:v>
      </x:c>
      <x:c r="G296" s="17" t="str">
        <x:v>本地素材筛选＋PRECISION-SERVER待盘点；不足项见资源缺口</x:v>
      </x:c>
      <x:c r="H296" s="17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96" s="17" t="str">
        <x:v>检测目标与分割结果一一对应；无目标时不沿用旧掩码；所有子试验完成才可给整项结论；图片输出不自动生成视频告警；没有标签/模型记录阻塞。</x:v>
      </x:c>
      <x:c r="J296" s="17" t="str">
        <x:v>停止并删除本轮任务通道与场景；保留失败样本ID；恢复默认参数</x:v>
      </x:c>
      <x:c r="K296" s="17" t="str">
        <x:v>步骤观察、实际结果、证据文件与清理核对</x:v>
      </x:c>
      <x:c r="L296" s="17" t="str">
        <x:v>UI创建配置运行＋事件/结果核对；真值人工复核</x:v>
      </x:c>
      <x:c r="M296" s="17" t="str">
        <x:v>发布全量/算法变更</x:v>
      </x:c>
      <x:c r="N296" s="17" t="str">
        <x:v>仅模板所在平台：bm1688,cv186x,x86；存在配置不代表模型已安装</x:v>
      </x:c>
      <x:c r="O296" s="17" t="str">
        <x:v>data/resource/aiboxresource_bm1688/algorithm_template/82819_检测后分割算法_20260414155302.json</x:v>
      </x:c>
      <x:c r="P296" s="17" t="str">
        <x:v>未执行</x:v>
      </x:c>
      <x:c r="Q296" s="19" t="str"/>
      <x:c r="R296" s="17" t="str"/>
      <x:c r="S296" s="17" t="str"/>
      <x:c r="T296" s="17" t="n">
        <x:v>1</x:v>
      </x:c>
      <x:c r="U296" s="17" t="str">
        <x:v>DUT；MODEL-INVENTORY；SCENARIO-TRUTH</x:v>
      </x:c>
      <x:c r="V296" s="17" t="str">
        <x:v>codex-ui-and-evidence</x:v>
      </x:c>
      <x:c r="W296" s="17" t="str"/>
      <x:c r="X296" s="17" t="str"/>
      <x:c r="Y296" s="17" t="str"/>
      <x:c r="Z296" s="17" t="str"/>
      <x:c r="AA296" s="17" t="str"/>
      <x:c r="AB296" s="17" t="str"/>
      <x:c r="AC296" s="17" t="str"/>
    </x:row>
    <x:row r="297" ht="83" customHeight="1">
      <x:c r="A297" s="4" t="str">
        <x:v>ALG-89336</x:v>
      </x:c>
      <x:c r="B297" s="4" t="str">
        <x:v>J04/J07/J12</x:v>
      </x:c>
      <x:c r="C297" s="4" t="str">
        <x:v>逐算法业务验收</x:v>
      </x:c>
      <x:c r="D297" s="4" t="str">
        <x:v>P1</x:v>
      </x:c>
      <x:c r="E297" s="4" t="str">
        <x:v>视觉语言大模型（89336）完整实例</x:v>
      </x:c>
      <x:c r="F297" s="4" t="str">
        <x:v>目标设备确认该模板适用且依赖模型已安装；每一子试验单独记录；冻结提示词和正负困难样本</x:v>
      </x:c>
      <x:c r="G297" s="4" t="str">
        <x:v>本地素材筛选＋PRECISION-SERVER待盘点；不足项见资源缺口</x:v>
      </x:c>
      <x:c r="H297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97" s="4" t="str">
        <x:v>VLM输出与标注业务问题一致；记录输入帧时间和模型耗时；所有子试验完成才可给整项结论；图片输出不自动生成视频告警；没有标签/模型记录阻塞。</x:v>
      </x:c>
      <x:c r="J297" s="4" t="str">
        <x:v>停止并删除本轮任务通道与场景；保留失败样本ID；恢复默认参数</x:v>
      </x:c>
      <x:c r="K297" s="4" t="str">
        <x:v>步骤观察、实际结果、证据文件与清理核对</x:v>
      </x:c>
      <x:c r="L297" s="4" t="str">
        <x:v>UI创建配置运行＋事件/结果核对；真值人工复核</x:v>
      </x:c>
      <x:c r="M297" s="4" t="str">
        <x:v>发布全量/算法变更</x:v>
      </x:c>
      <x:c r="N297" s="4" t="str">
        <x:v>仅模板所在平台：bm1688,cv186x,x86；存在配置不代表模型已安装</x:v>
      </x:c>
      <x:c r="O297" s="4" t="str">
        <x:v>data/resource/aiboxresource_bm1688/algorithm_template/89336_视觉语言大模型_20260413173809.json</x:v>
      </x:c>
      <x:c r="P297" s="4" t="str">
        <x:v>未执行</x:v>
      </x:c>
      <x:c r="Q297" s="19" t="str"/>
      <x:c r="R297" s="12" t="str"/>
      <x:c r="S297" s="12" t="str"/>
      <x:c r="T297" s="4" t="n">
        <x:v>1</x:v>
      </x:c>
      <x:c r="U297" s="4" t="str">
        <x:v>DUT；MODEL-INVENTORY；SCENARIO-TRUTH</x:v>
      </x:c>
      <x:c r="V297" s="4" t="str">
        <x:v>codex-ui-and-evidence</x:v>
      </x:c>
      <x:c r="W297" s="4" t="str"/>
      <x:c r="X297" s="4" t="str"/>
      <x:c r="Y297" s="4" t="str"/>
      <x:c r="Z297" s="4" t="str"/>
      <x:c r="AA297" s="4" t="str"/>
      <x:c r="AB297" s="4" t="str"/>
      <x:c r="AC297" s="4" t="str"/>
    </x:row>
    <x:row r="298" ht="83" customHeight="1">
      <x:c r="A298" s="17" t="str">
        <x:v>ALG-92000002</x:v>
      </x:c>
      <x:c r="B298" s="17" t="str">
        <x:v>J04/J07/J12</x:v>
      </x:c>
      <x:c r="C298" s="17" t="str">
        <x:v>逐算法业务验收</x:v>
      </x:c>
      <x:c r="D298" s="17" t="str">
        <x:v>P0</x:v>
      </x:c>
      <x:c r="E298" s="17" t="str">
        <x:v>图片人脸比对（92000002）完整实例</x:v>
      </x:c>
      <x:c r="F298" s="17" t="str">
        <x:v>目标设备确认该模板适用且依赖模型已安装；每一子试验单独记录；已入库人独立拍摄图；未入库人；模糊遮挡</x:v>
      </x:c>
      <x:c r="G298" s="17" t="str">
        <x:v>本地素材筛选＋PRECISION-SERVER待盘点；不足项见资源缺口</x:v>
      </x:c>
      <x:c r="H298" s="17" t="str">
        <x:v>1. 从模板创建本轮场景，冻结依赖模型、参数和样本哈希。
2. 图片分析选择该场景并上传样本，确认实际处理完成。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98" s="17" t="str">
        <x:v>匹配正确匿名身份与底库；陌生人不冒认；缺有效库不能判陌生；所有子试验完成才可给整项结论；图片输出不自动生成视频告警；没有标签/模型记录阻塞。</x:v>
      </x:c>
      <x:c r="J298" s="17" t="str">
        <x:v>停止并删除本轮任务通道与场景；保留失败样本ID；恢复默认参数</x:v>
      </x:c>
      <x:c r="K298" s="17" t="str">
        <x:v>步骤观察、实际结果、证据文件与清理核对</x:v>
      </x:c>
      <x:c r="L298" s="17" t="str">
        <x:v>UI创建配置运行＋事件/结果核对；真值人工复核</x:v>
      </x:c>
      <x:c r="M298" s="17" t="str">
        <x:v>发布全量/算法变更</x:v>
      </x:c>
      <x:c r="N298" s="17" t="str">
        <x:v>仅模板所在平台：bm1688,cv186x,x86；存在配置不代表模型已安装</x:v>
      </x:c>
      <x:c r="O298" s="17" t="str">
        <x:v>data/resource/aiboxresource_bm1688/algorithm_template/92000002_picture.json</x:v>
      </x:c>
      <x:c r="P298" s="17" t="str">
        <x:v>未执行</x:v>
      </x:c>
      <x:c r="Q298" s="19" t="str"/>
      <x:c r="R298" s="17" t="str"/>
      <x:c r="S298" s="17" t="str"/>
      <x:c r="T298" s="17" t="n">
        <x:v>1</x:v>
      </x:c>
      <x:c r="U298" s="17" t="str">
        <x:v>DUT；MODEL-INVENTORY；FACE-TRUTH；FACE-VIDEO</x:v>
      </x:c>
      <x:c r="V298" s="17" t="str">
        <x:v>codex-ui-and-evidence</x:v>
      </x:c>
      <x:c r="W298" s="17" t="str"/>
      <x:c r="X298" s="17" t="str"/>
      <x:c r="Y298" s="17" t="str"/>
      <x:c r="Z298" s="17" t="str"/>
      <x:c r="AA298" s="17" t="str"/>
      <x:c r="AB298" s="17" t="str"/>
      <x:c r="AC298" s="17" t="str"/>
    </x:row>
    <x:row r="299" ht="83" customHeight="1">
      <x:c r="A299" s="4" t="str">
        <x:v>ALG-92000006</x:v>
      </x:c>
      <x:c r="B299" s="4" t="str">
        <x:v>J04/J07/J12</x:v>
      </x:c>
      <x:c r="C299" s="4" t="str">
        <x:v>逐算法业务验收</x:v>
      </x:c>
      <x:c r="D299" s="4" t="str">
        <x:v>P1</x:v>
      </x:c>
      <x:c r="E299" s="4" t="str">
        <x:v>图片人员跌倒（92000006）完整实例</x:v>
      </x:c>
      <x:c r="F299" s="4" t="str">
        <x:v>目标设备确认该模板适用且依赖模型已安装；每一子试验单独记录；人员跌倒、蹲下、坐下、弯腰</x:v>
      </x:c>
      <x:c r="G299" s="4" t="str">
        <x:v>本地素材筛选＋PRECISION-SERVER待盘点；不足项见资源缺口</x:v>
      </x:c>
      <x:c r="H299" s="4" t="str">
        <x:v>1. 从模板创建本轮场景，冻结依赖模型、参数和样本哈希。
2. 图片分析选择该场景并上传样本，确认实际处理完成。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99" s="4" t="str">
        <x:v>跌倒输出对应人和时段；短暂弯腰负例独立报告；所有子试验完成才可给整项结论；图片输出不自动生成视频告警；没有标签/模型记录阻塞。</x:v>
      </x:c>
      <x:c r="J299" s="4" t="str">
        <x:v>停止并删除本轮任务通道与场景；保留失败样本ID；恢复默认参数</x:v>
      </x:c>
      <x:c r="K299" s="4" t="str">
        <x:v>步骤观察、实际结果、证据文件与清理核对</x:v>
      </x:c>
      <x:c r="L299" s="4" t="str">
        <x:v>UI创建配置运行＋事件/结果核对；真值人工复核</x:v>
      </x:c>
      <x:c r="M299" s="4" t="str">
        <x:v>发布全量/算法变更</x:v>
      </x:c>
      <x:c r="N299" s="4" t="str">
        <x:v>仅模板所在平台：bm1688,cv186x,x86；存在配置不代表模型已安装</x:v>
      </x:c>
      <x:c r="O299" s="4" t="str">
        <x:v>data/resource/aiboxresource_bm1688/algorithm_template/92000006_picture.json</x:v>
      </x:c>
      <x:c r="P299" s="4" t="str">
        <x:v>未执行</x:v>
      </x:c>
      <x:c r="Q299" s="19" t="str"/>
      <x:c r="R299" s="12" t="str"/>
      <x:c r="S299" s="12" t="str"/>
      <x:c r="T299" s="4" t="n">
        <x:v>1</x:v>
      </x:c>
      <x:c r="U299" s="4" t="str">
        <x:v>DUT；MODEL-INVENTORY；SCENARIO-TRUTH</x:v>
      </x:c>
      <x:c r="V299" s="4" t="str">
        <x:v>codex-ui-and-evidence</x:v>
      </x:c>
      <x:c r="W299" s="4" t="str"/>
      <x:c r="X299" s="4" t="str"/>
      <x:c r="Y299" s="4" t="str"/>
      <x:c r="Z299" s="4" t="str"/>
      <x:c r="AA299" s="4" t="str"/>
      <x:c r="AB299" s="4" t="str"/>
      <x:c r="AC299" s="4" t="str"/>
    </x:row>
    <x:row r="300" ht="83" customHeight="1">
      <x:c r="A300" s="17" t="str">
        <x:v>ALG-92000009</x:v>
      </x:c>
      <x:c r="B300" s="17" t="str">
        <x:v>J04/J07/J12</x:v>
      </x:c>
      <x:c r="C300" s="17" t="str">
        <x:v>逐算法业务验收</x:v>
      </x:c>
      <x:c r="D300" s="17" t="str">
        <x:v>P1</x:v>
      </x:c>
      <x:c r="E300" s="17" t="str">
        <x:v>图片烟雾检测（92000009）完整实例</x:v>
      </x:c>
      <x:c r="F300" s="17" t="str">
        <x:v>目标设备确认该模板适用且依赖模型已安装；每一子试验单独记录；烟雾正例；水汽/云/阴影负例</x:v>
      </x:c>
      <x:c r="G300" s="17" t="str">
        <x:v>本地素材筛选＋PRECISION-SERVER待盘点；不足项见资源缺口</x:v>
      </x:c>
      <x:c r="H300" s="17" t="str">
        <x:v>1. 从模板创建本轮场景，冻结依赖模型、参数和样本哈希。
2. 图片分析选择该场景并上传样本，确认实际处理完成。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300" s="17" t="str">
        <x:v>烟雾事件命中正确时段；易混淆负例单列；所有子试验完成才可给整项结论；图片输出不自动生成视频告警；没有标签/模型记录阻塞。</x:v>
      </x:c>
      <x:c r="J300" s="17" t="str">
        <x:v>停止并删除本轮任务通道与场景；保留失败样本ID；恢复默认参数</x:v>
      </x:c>
      <x:c r="K300" s="17" t="str">
        <x:v>步骤观察、实际结果、证据文件与清理核对</x:v>
      </x:c>
      <x:c r="L300" s="17" t="str">
        <x:v>UI创建配置运行＋事件/结果核对；真值人工复核</x:v>
      </x:c>
      <x:c r="M300" s="17" t="str">
        <x:v>发布全量/算法变更</x:v>
      </x:c>
      <x:c r="N300" s="17" t="str">
        <x:v>仅模板所在平台：bm1688,cv186x,x86；存在配置不代表模型已安装</x:v>
      </x:c>
      <x:c r="O300" s="17" t="str">
        <x:v>data/resource/aiboxresource_bm1688/algorithm_template/92000009_picture.json</x:v>
      </x:c>
      <x:c r="P300" s="17" t="str">
        <x:v>未执行</x:v>
      </x:c>
      <x:c r="Q300" s="19" t="str"/>
      <x:c r="R300" s="17" t="str"/>
      <x:c r="S300" s="17" t="str"/>
      <x:c r="T300" s="17" t="n">
        <x:v>1</x:v>
      </x:c>
      <x:c r="U300" s="17" t="str">
        <x:v>DUT；MODEL-INVENTORY；SCENARIO-TRUTH</x:v>
      </x:c>
      <x:c r="V300" s="17" t="str">
        <x:v>codex-ui-and-evidence</x:v>
      </x:c>
      <x:c r="W300" s="17" t="str"/>
      <x:c r="X300" s="17" t="str"/>
      <x:c r="Y300" s="17" t="str"/>
      <x:c r="Z300" s="17" t="str"/>
      <x:c r="AA300" s="17" t="str"/>
      <x:c r="AB300" s="17" t="str"/>
      <x:c r="AC300" s="17" t="str"/>
    </x:row>
    <x:row r="301" ht="83" customHeight="1">
      <x:c r="A301" s="4" t="str">
        <x:v>ALG-92000010</x:v>
      </x:c>
      <x:c r="B301" s="4" t="str">
        <x:v>J04/J07/J12</x:v>
      </x:c>
      <x:c r="C301" s="4" t="str">
        <x:v>逐算法业务验收</x:v>
      </x:c>
      <x:c r="D301" s="4" t="str">
        <x:v>P1</x:v>
      </x:c>
      <x:c r="E301" s="4" t="str">
        <x:v>图片火焰检测（92000010）完整实例</x:v>
      </x:c>
      <x:c r="F301" s="4" t="str">
        <x:v>目标设备确认该模板适用且依赖模型已安装；每一子试验单独记录；火焰清晰正例；红衣/夕阳/灯光负例</x:v>
      </x:c>
      <x:c r="G301" s="4" t="str">
        <x:v>本地素材筛选＋PRECISION-SERVER待盘点；不足项见资源缺口</x:v>
      </x:c>
      <x:c r="H301" s="4" t="str">
        <x:v>1. 从模板创建本轮场景，冻结依赖模型、参数和样本哈希。
2. 图片分析选择该场景并上传样本，确认实际处理完成。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301" s="4" t="str">
        <x:v>火焰事件与标注时间和位置一致；相似颜色负例不触发；所有子试验完成才可给整项结论；图片输出不自动生成视频告警；没有标签/模型记录阻塞。</x:v>
      </x:c>
      <x:c r="J301" s="4" t="str">
        <x:v>停止并删除本轮任务通道与场景；保留失败样本ID；恢复默认参数</x:v>
      </x:c>
      <x:c r="K301" s="4" t="str">
        <x:v>步骤观察、实际结果、证据文件与清理核对</x:v>
      </x:c>
      <x:c r="L301" s="4" t="str">
        <x:v>UI创建配置运行＋事件/结果核对；真值人工复核</x:v>
      </x:c>
      <x:c r="M301" s="4" t="str">
        <x:v>发布全量/算法变更</x:v>
      </x:c>
      <x:c r="N301" s="4" t="str">
        <x:v>仅模板所在平台：bm1688,cv186x,x86；存在配置不代表模型已安装</x:v>
      </x:c>
      <x:c r="O301" s="4" t="str">
        <x:v>data/resource/aiboxresource_bm1688/algorithm_template/92000010_picture.json</x:v>
      </x:c>
      <x:c r="P301" s="4" t="str">
        <x:v>未执行</x:v>
      </x:c>
      <x:c r="Q301" s="19" t="str"/>
      <x:c r="R301" s="12" t="str"/>
      <x:c r="S301" s="12" t="str"/>
      <x:c r="T301" s="4" t="n">
        <x:v>1</x:v>
      </x:c>
      <x:c r="U301" s="4" t="str">
        <x:v>DUT；MODEL-INVENTORY；SCENARIO-TRUTH</x:v>
      </x:c>
      <x:c r="V301" s="4" t="str">
        <x:v>codex-ui-and-evidence</x:v>
      </x:c>
      <x:c r="W301" s="4" t="str"/>
      <x:c r="X301" s="4" t="str"/>
      <x:c r="Y301" s="4" t="str"/>
      <x:c r="Z301" s="4" t="str"/>
      <x:c r="AA301" s="4" t="str"/>
      <x:c r="AB301" s="4" t="str"/>
      <x:c r="AC301" s="4" t="str"/>
    </x:row>
    <x:row r="302" ht="83" customHeight="1">
      <x:c r="A302" s="17" t="str">
        <x:v>ALG-92000011</x:v>
      </x:c>
      <x:c r="B302" s="17" t="str">
        <x:v>J04/J07/J12</x:v>
      </x:c>
      <x:c r="C302" s="17" t="str">
        <x:v>逐算法业务验收</x:v>
      </x:c>
      <x:c r="D302" s="17" t="str">
        <x:v>P1</x:v>
      </x:c>
      <x:c r="E302" s="17" t="str">
        <x:v>图片吸烟检测（92000011）完整实例</x:v>
      </x:c>
      <x:c r="F302" s="17" t="str">
        <x:v>目标设备确认该模板适用且依赖模型已安装；每一子试验单独记录；持烟及吸烟动作正例；喝水/摸脸负例</x:v>
      </x:c>
      <x:c r="G302" s="17" t="str">
        <x:v>本地素材筛选＋PRECISION-SERVER待盘点；不足项见资源缺口</x:v>
      </x:c>
      <x:c r="H302" s="17" t="str">
        <x:v>1. 从模板创建本轮场景，冻结依赖模型、参数和样本哈希。
2. 图片分析选择该场景并上传样本，确认实际处理完成。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302" s="17" t="str">
        <x:v>吸烟规则按标注触发；动作相似负例不触发；所有子试验完成才可给整项结论；图片输出不自动生成视频告警；没有标签/模型记录阻塞。</x:v>
      </x:c>
      <x:c r="J302" s="17" t="str">
        <x:v>停止并删除本轮任务通道与场景；保留失败样本ID；恢复默认参数</x:v>
      </x:c>
      <x:c r="K302" s="17" t="str">
        <x:v>步骤观察、实际结果、证据文件与清理核对</x:v>
      </x:c>
      <x:c r="L302" s="17" t="str">
        <x:v>UI创建配置运行＋事件/结果核对；真值人工复核</x:v>
      </x:c>
      <x:c r="M302" s="17" t="str">
        <x:v>发布全量/算法变更</x:v>
      </x:c>
      <x:c r="N302" s="17" t="str">
        <x:v>仅模板所在平台：bm1688,cv186x,x86；存在配置不代表模型已安装</x:v>
      </x:c>
      <x:c r="O302" s="17" t="str">
        <x:v>data/resource/aiboxresource_bm1688/algorithm_template/92000011_picture.json</x:v>
      </x:c>
      <x:c r="P302" s="17" t="str">
        <x:v>未执行</x:v>
      </x:c>
      <x:c r="Q302" s="19" t="str"/>
      <x:c r="R302" s="17" t="str"/>
      <x:c r="S302" s="17" t="str"/>
      <x:c r="T302" s="17" t="n">
        <x:v>1</x:v>
      </x:c>
      <x:c r="U302" s="17" t="str">
        <x:v>DUT；MODEL-INVENTORY；SCENARIO-TRUTH</x:v>
      </x:c>
      <x:c r="V302" s="17" t="str">
        <x:v>codex-ui-and-evidence</x:v>
      </x:c>
      <x:c r="W302" s="17" t="str"/>
      <x:c r="X302" s="17" t="str"/>
      <x:c r="Y302" s="17" t="str"/>
      <x:c r="Z302" s="17" t="str"/>
      <x:c r="AA302" s="17" t="str"/>
      <x:c r="AB302" s="17" t="str"/>
      <x:c r="AC302" s="17" t="str"/>
    </x:row>
    <x:row r="303" ht="83" customHeight="1">
      <x:c r="A303" s="4" t="str">
        <x:v>ALG-92000012</x:v>
      </x:c>
      <x:c r="B303" s="4" t="str">
        <x:v>J04/J07/J12</x:v>
      </x:c>
      <x:c r="C303" s="4" t="str">
        <x:v>逐算法业务验收</x:v>
      </x:c>
      <x:c r="D303" s="4" t="str">
        <x:v>P1</x:v>
      </x:c>
      <x:c r="E303" s="4" t="str">
        <x:v>图片打电话检测（92000012）完整实例</x:v>
      </x:c>
      <x:c r="F303" s="4" t="str">
        <x:v>目标设备确认该模板适用且依赖模型已安装；每一子试验单独记录；贴耳通话正例；摸头/耳机负例</x:v>
      </x:c>
      <x:c r="G303" s="4" t="str">
        <x:v>本地素材筛选＋PRECISION-SERVER待盘点；不足项见资源缺口</x:v>
      </x:c>
      <x:c r="H303" s="4" t="str">
        <x:v>1. 从模板创建本轮场景，冻结依赖模型、参数和样本哈希。
2. 图片分析选择该场景并上传样本，确认实际处理完成。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303" s="4" t="str">
        <x:v>打电话结果对应标注；其他动作不误报；所有子试验完成才可给整项结论；图片输出不自动生成视频告警；没有标签/模型记录阻塞。</x:v>
      </x:c>
      <x:c r="J303" s="4" t="str">
        <x:v>停止并删除本轮任务通道与场景；保留失败样本ID；恢复默认参数</x:v>
      </x:c>
      <x:c r="K303" s="4" t="str">
        <x:v>步骤观察、实际结果、证据文件与清理核对</x:v>
      </x:c>
      <x:c r="L303" s="4" t="str">
        <x:v>UI创建配置运行＋事件/结果核对；真值人工复核</x:v>
      </x:c>
      <x:c r="M303" s="4" t="str">
        <x:v>发布全量/算法变更</x:v>
      </x:c>
      <x:c r="N303" s="4" t="str">
        <x:v>仅模板所在平台：bm1688,cv186x,x86；存在配置不代表模型已安装</x:v>
      </x:c>
      <x:c r="O303" s="4" t="str">
        <x:v>data/resource/aiboxresource_bm1688/algorithm_template/92000012_picture.json</x:v>
      </x:c>
      <x:c r="P303" s="4" t="str">
        <x:v>未执行</x:v>
      </x:c>
      <x:c r="Q303" s="19" t="str"/>
      <x:c r="R303" s="12" t="str"/>
      <x:c r="S303" s="12" t="str"/>
      <x:c r="T303" s="4" t="n">
        <x:v>1</x:v>
      </x:c>
      <x:c r="U303" s="4" t="str">
        <x:v>DUT；MODEL-INVENTORY；SCENARIO-TRUTH</x:v>
      </x:c>
      <x:c r="V303" s="4" t="str">
        <x:v>codex-ui-and-evidence</x:v>
      </x:c>
      <x:c r="W303" s="4" t="str"/>
      <x:c r="X303" s="4" t="str"/>
      <x:c r="Y303" s="4" t="str"/>
      <x:c r="Z303" s="4" t="str"/>
      <x:c r="AA303" s="4" t="str"/>
      <x:c r="AB303" s="4" t="str"/>
      <x:c r="AC303" s="4" t="str"/>
    </x:row>
    <x:row r="304" ht="83" customHeight="1">
      <x:c r="A304" s="17" t="str">
        <x:v>ALG-92000015</x:v>
      </x:c>
      <x:c r="B304" s="17" t="str">
        <x:v>J04/J07/J12</x:v>
      </x:c>
      <x:c r="C304" s="17" t="str">
        <x:v>逐算法业务验收</x:v>
      </x:c>
      <x:c r="D304" s="17" t="str">
        <x:v>P0</x:v>
      </x:c>
      <x:c r="E304" s="17" t="str">
        <x:v>图片未戴安全帽（92000015）完整实例</x:v>
      </x:c>
      <x:c r="F304" s="17" t="str">
        <x:v>目标设备确认该模板适用且依赖模型已安装；每一子试验单独记录；未戴帽正例；合规安全帽/普通帽/遮挡</x:v>
      </x:c>
      <x:c r="G304" s="17" t="str">
        <x:v>本地素材筛选＋PRECISION-SERVER待盘点；不足项见资源缺口</x:v>
      </x:c>
      <x:c r="H304" s="17" t="str">
        <x:v>1. 从模板创建本轮场景，冻结依赖模型、参数和样本哈希。
2. 图片分析选择该场景并上传样本，确认实际处理完成。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304" s="17" t="str">
        <x:v>按安全帽业务标签判定；普通帽不自动当安全帽；所有子试验完成才可给整项结论；图片输出不自动生成视频告警；没有标签/模型记录阻塞。</x:v>
      </x:c>
      <x:c r="J304" s="17" t="str">
        <x:v>停止并删除本轮任务通道与场景；保留失败样本ID；恢复默认参数</x:v>
      </x:c>
      <x:c r="K304" s="17" t="str">
        <x:v>步骤观察、实际结果、证据文件与清理核对</x:v>
      </x:c>
      <x:c r="L304" s="17" t="str">
        <x:v>UI创建配置运行＋事件/结果核对；真值人工复核</x:v>
      </x:c>
      <x:c r="M304" s="17" t="str">
        <x:v>发布全量/算法变更</x:v>
      </x:c>
      <x:c r="N304" s="17" t="str">
        <x:v>仅模板所在平台：bm1688,cv186x,x86；存在配置不代表模型已安装</x:v>
      </x:c>
      <x:c r="O304" s="17" t="str">
        <x:v>data/resource/aiboxresource_bm1688/algorithm_template/92000015_picture.json</x:v>
      </x:c>
      <x:c r="P304" s="17" t="str">
        <x:v>未执行</x:v>
      </x:c>
      <x:c r="Q304" s="19" t="str"/>
      <x:c r="R304" s="17" t="str"/>
      <x:c r="S304" s="17" t="str"/>
      <x:c r="T304" s="17" t="n">
        <x:v>1</x:v>
      </x:c>
      <x:c r="U304" s="17" t="str">
        <x:v>DUT；MODEL-INVENTORY；SCENARIO-TRUTH</x:v>
      </x:c>
      <x:c r="V304" s="17" t="str">
        <x:v>codex-ui-and-evidence</x:v>
      </x:c>
      <x:c r="W304" s="17" t="str"/>
      <x:c r="X304" s="17" t="str"/>
      <x:c r="Y304" s="17" t="str"/>
      <x:c r="Z304" s="17" t="str"/>
      <x:c r="AA304" s="17" t="str"/>
      <x:c r="AB304" s="17" t="str"/>
      <x:c r="AC304" s="17" t="str"/>
    </x:row>
    <x:row r="305" ht="83" customHeight="1">
      <x:c r="A305" s="4" t="str">
        <x:v>ALG-92000022</x:v>
      </x:c>
      <x:c r="B305" s="4" t="str">
        <x:v>J04/J07/J12</x:v>
      </x:c>
      <x:c r="C305" s="4" t="str">
        <x:v>逐算法业务验收</x:v>
      </x:c>
      <x:c r="D305" s="4" t="str">
        <x:v>P1</x:v>
      </x:c>
      <x:c r="E305" s="4" t="str">
        <x:v>图片玩手机检测（92000022）完整实例</x:v>
      </x:c>
      <x:c r="F305" s="4" t="str">
        <x:v>目标设备确认该模板适用且依赖模型已安装；每一子试验单独记录；手持操作手机正例；持书/空手负例</x:v>
      </x:c>
      <x:c r="G305" s="4" t="str">
        <x:v>本地素材筛选＋PRECISION-SERVER待盘点；不足项见资源缺口</x:v>
      </x:c>
      <x:c r="H305" s="4" t="str">
        <x:v>1. 从模板创建本轮场景，冻结依赖模型、参数和样本哈希。
2. 图片分析选择该场景并上传样本，确认实际处理完成。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305" s="4" t="str">
        <x:v>玩手机规则对应目标和时段；与打电话场景分开评估；所有子试验完成才可给整项结论；图片输出不自动生成视频告警；没有标签/模型记录阻塞。</x:v>
      </x:c>
      <x:c r="J305" s="4" t="str">
        <x:v>停止并删除本轮任务通道与场景；保留失败样本ID；恢复默认参数</x:v>
      </x:c>
      <x:c r="K305" s="4" t="str">
        <x:v>步骤观察、实际结果、证据文件与清理核对</x:v>
      </x:c>
      <x:c r="L305" s="4" t="str">
        <x:v>UI创建配置运行＋事件/结果核对；真值人工复核</x:v>
      </x:c>
      <x:c r="M305" s="4" t="str">
        <x:v>发布全量/算法变更</x:v>
      </x:c>
      <x:c r="N305" s="4" t="str">
        <x:v>仅模板所在平台：bm1688,cv186x,x86；存在配置不代表模型已安装</x:v>
      </x:c>
      <x:c r="O305" s="4" t="str">
        <x:v>data/resource/aiboxresource_bm1688/algorithm_template/92000022_picture.json</x:v>
      </x:c>
      <x:c r="P305" s="4" t="str">
        <x:v>未执行</x:v>
      </x:c>
      <x:c r="Q305" s="19" t="str"/>
      <x:c r="R305" s="12" t="str"/>
      <x:c r="S305" s="12" t="str"/>
      <x:c r="T305" s="4" t="n">
        <x:v>1</x:v>
      </x:c>
      <x:c r="U305" s="4" t="str">
        <x:v>DUT；MODEL-INVENTORY；SCENARIO-TRUTH</x:v>
      </x:c>
      <x:c r="V305" s="4" t="str">
        <x:v>codex-ui-and-evidence</x:v>
      </x:c>
      <x:c r="W305" s="4" t="str"/>
      <x:c r="X305" s="4" t="str"/>
      <x:c r="Y305" s="4" t="str"/>
      <x:c r="Z305" s="4" t="str"/>
      <x:c r="AA305" s="4" t="str"/>
      <x:c r="AB305" s="4" t="str"/>
      <x:c r="AC305" s="4" t="str"/>
    </x:row>
    <x:row r="306" ht="83" customHeight="1">
      <x:c r="A306" s="17" t="str">
        <x:v>ALG-92000029</x:v>
      </x:c>
      <x:c r="B306" s="17" t="str">
        <x:v>J04/J07/J12</x:v>
      </x:c>
      <x:c r="C306" s="17" t="str">
        <x:v>逐算法业务验收</x:v>
      </x:c>
      <x:c r="D306" s="17" t="str">
        <x:v>P1</x:v>
      </x:c>
      <x:c r="E306" s="17" t="str">
        <x:v>图片车牌识别（92000029）完整实例</x:v>
      </x:c>
      <x:c r="F306" s="17" t="str">
        <x:v>目标设备确认该模板适用且依赖模型已安装；每一子试验单独记录；多车牌、清晰/模糊/遮挡/无牌与真实文字</x:v>
      </x:c>
      <x:c r="G306" s="17" t="str">
        <x:v>本地素材筛选＋PRECISION-SERVER待盘点；不足项见资源缺口</x:v>
      </x:c>
      <x:c r="H306" s="17" t="str">
        <x:v>1. 从模板创建本轮场景，冻结依赖模型、参数和样本哈希。
2. 图片分析选择该场景并上传样本，确认实际处理完成。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306" s="17" t="str">
        <x:v>车牌文字及车辆归属逐字符核对；无牌不输出伪文字；所有子试验完成才可给整项结论；图片输出不自动生成视频告警；没有标签/模型记录阻塞。</x:v>
      </x:c>
      <x:c r="J306" s="17" t="str">
        <x:v>停止并删除本轮任务通道与场景；保留失败样本ID；恢复默认参数</x:v>
      </x:c>
      <x:c r="K306" s="17" t="str">
        <x:v>步骤观察、实际结果、证据文件与清理核对</x:v>
      </x:c>
      <x:c r="L306" s="17" t="str">
        <x:v>UI创建配置运行＋事件/结果核对；真值人工复核</x:v>
      </x:c>
      <x:c r="M306" s="17" t="str">
        <x:v>发布全量/算法变更</x:v>
      </x:c>
      <x:c r="N306" s="17" t="str">
        <x:v>仅模板所在平台：bm1688,cv186x,x86；存在配置不代表模型已安装</x:v>
      </x:c>
      <x:c r="O306" s="17" t="str">
        <x:v>data/resource/aiboxresource_bm1688/algorithm_template/92000029_picture.json</x:v>
      </x:c>
      <x:c r="P306" s="17" t="str">
        <x:v>未执行</x:v>
      </x:c>
      <x:c r="Q306" s="19" t="str"/>
      <x:c r="R306" s="17" t="str"/>
      <x:c r="S306" s="17" t="str"/>
      <x:c r="T306" s="17" t="n">
        <x:v>1</x:v>
      </x:c>
      <x:c r="U306" s="17" t="str">
        <x:v>DUT；MODEL-INVENTORY；SCENARIO-TRUTH</x:v>
      </x:c>
      <x:c r="V306" s="17" t="str">
        <x:v>codex-ui-and-evidence</x:v>
      </x:c>
      <x:c r="W306" s="17" t="str"/>
      <x:c r="X306" s="17" t="str"/>
      <x:c r="Y306" s="17" t="str"/>
      <x:c r="Z306" s="17" t="str"/>
      <x:c r="AA306" s="17" t="str"/>
      <x:c r="AB306" s="17" t="str"/>
      <x:c r="AC306" s="17" t="str"/>
    </x:row>
    <x:row r="307" ht="83" customHeight="1">
      <x:c r="A307" s="4" t="str">
        <x:v>ALG-92000032</x:v>
      </x:c>
      <x:c r="B307" s="4" t="str">
        <x:v>J04/J07/J12</x:v>
      </x:c>
      <x:c r="C307" s="4" t="str">
        <x:v>逐算法业务验收</x:v>
      </x:c>
      <x:c r="D307" s="4" t="str">
        <x:v>P1</x:v>
      </x:c>
      <x:c r="E307" s="4" t="str">
        <x:v>图片未穿反光衣（92000032）完整实例</x:v>
      </x:c>
      <x:c r="F307" s="4" t="str">
        <x:v>目标设备确认该模板适用且依赖模型已安装；每一子试验单独记录；未穿反光衣；规范穿着；颜色相近普通衣</x:v>
      </x:c>
      <x:c r="G307" s="4" t="str">
        <x:v>本地素材筛选＋PRECISION-SERVER待盘点；不足项见资源缺口</x:v>
      </x:c>
      <x:c r="H307" s="4" t="str">
        <x:v>1. 从模板创建本轮场景，冻结依赖模型、参数和样本哈希。
2. 图片分析选择该场景并上传样本，确认实际处理完成。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307" s="4" t="str">
        <x:v>按标注触发未穿反光衣；颜色相似不是合规证据；所有子试验完成才可给整项结论；图片输出不自动生成视频告警；没有标签/模型记录阻塞。</x:v>
      </x:c>
      <x:c r="J307" s="4" t="str">
        <x:v>停止并删除本轮任务通道与场景；保留失败样本ID；恢复默认参数</x:v>
      </x:c>
      <x:c r="K307" s="4" t="str">
        <x:v>步骤观察、实际结果、证据文件与清理核对</x:v>
      </x:c>
      <x:c r="L307" s="4" t="str">
        <x:v>UI创建配置运行＋事件/结果核对；真值人工复核</x:v>
      </x:c>
      <x:c r="M307" s="4" t="str">
        <x:v>发布全量/算法变更</x:v>
      </x:c>
      <x:c r="N307" s="4" t="str">
        <x:v>仅模板所在平台：bm1688,cv186x,x86；存在配置不代表模型已安装</x:v>
      </x:c>
      <x:c r="O307" s="4" t="str">
        <x:v>data/resource/aiboxresource_bm1688/algorithm_template/92000032_picture.json</x:v>
      </x:c>
      <x:c r="P307" s="4" t="str">
        <x:v>未执行</x:v>
      </x:c>
      <x:c r="Q307" s="19" t="str"/>
      <x:c r="R307" s="12" t="str"/>
      <x:c r="S307" s="12" t="str"/>
      <x:c r="T307" s="4" t="n">
        <x:v>1</x:v>
      </x:c>
      <x:c r="U307" s="4" t="str">
        <x:v>DUT；MODEL-INVENTORY；SCENARIO-TRUTH</x:v>
      </x:c>
      <x:c r="V307" s="4" t="str">
        <x:v>codex-ui-and-evidence</x:v>
      </x:c>
      <x:c r="W307" s="4" t="str"/>
      <x:c r="X307" s="4" t="str"/>
      <x:c r="Y307" s="4" t="str"/>
      <x:c r="Z307" s="4" t="str"/>
      <x:c r="AA307" s="4" t="str"/>
      <x:c r="AB307" s="4" t="str"/>
      <x:c r="AC307" s="4" t="str"/>
    </x:row>
    <x:row r="308" ht="83" customHeight="1">
      <x:c r="A308" s="17" t="str">
        <x:v>ALG-92000058</x:v>
      </x:c>
      <x:c r="B308" s="17" t="str">
        <x:v>J04/J07/J12</x:v>
      </x:c>
      <x:c r="C308" s="17" t="str">
        <x:v>逐算法业务验收</x:v>
      </x:c>
      <x:c r="D308" s="17" t="str">
        <x:v>P0</x:v>
      </x:c>
      <x:c r="E308" s="17" t="str">
        <x:v>图片未穿工服（92000058）完整实例</x:v>
      </x:c>
      <x:c r="F308" s="17" t="str">
        <x:v>目标设备确认该模板适用且依赖模型已安装；每一子试验单独记录；同服异人、异服同人、背景相似、空有效库</x:v>
      </x:c>
      <x:c r="G308" s="17" t="str">
        <x:v>本地素材筛选＋PRECISION-SERVER待盘点；不足项见资源缺口</x:v>
      </x:c>
      <x:c r="H308" s="17" t="str">
        <x:v>1. 从模板创建本轮场景，冻结依赖模型、参数和样本哈希。
2. 图片分析选择该场景并上传样本，确认实际处理完成。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308" s="17" t="str">
        <x:v>有效工服库命中时未穿工服未命中；空有效库无法判断；所有子试验完成才可给整项结论；图片输出不自动生成视频告警；没有标签/模型记录阻塞。</x:v>
      </x:c>
      <x:c r="J308" s="17" t="str">
        <x:v>停止并删除本轮任务通道与场景；保留失败样本ID；恢复默认参数</x:v>
      </x:c>
      <x:c r="K308" s="17" t="str">
        <x:v>步骤观察、实际结果、证据文件与清理核对</x:v>
      </x:c>
      <x:c r="L308" s="17" t="str">
        <x:v>UI创建配置运行＋事件/结果核对；真值人工复核</x:v>
      </x:c>
      <x:c r="M308" s="17" t="str">
        <x:v>发布全量/算法变更</x:v>
      </x:c>
      <x:c r="N308" s="17" t="str">
        <x:v>仅模板所在平台：bm1688,cv186x,x86；存在配置不代表模型已安装</x:v>
      </x:c>
      <x:c r="O308" s="17" t="str">
        <x:v>data/resource/aiboxresource_bm1688/algorithm_template/92000058_picture.json</x:v>
      </x:c>
      <x:c r="P308" s="17" t="str">
        <x:v>未执行</x:v>
      </x:c>
      <x:c r="Q308" s="19" t="str"/>
      <x:c r="R308" s="17" t="str"/>
      <x:c r="S308" s="17" t="str"/>
      <x:c r="T308" s="17" t="n">
        <x:v>1</x:v>
      </x:c>
      <x:c r="U308" s="17" t="str">
        <x:v>DUT；MODEL-INVENTORY；UNIFORM-TRUTH</x:v>
      </x:c>
      <x:c r="V308" s="17" t="str">
        <x:v>codex-ui-and-evidence</x:v>
      </x:c>
      <x:c r="W308" s="17" t="str"/>
      <x:c r="X308" s="17" t="str"/>
      <x:c r="Y308" s="17" t="str"/>
      <x:c r="Z308" s="17" t="str"/>
      <x:c r="AA308" s="17" t="str"/>
      <x:c r="AB308" s="17" t="str"/>
      <x:c r="AC308" s="17" t="str"/>
    </x:row>
    <x:row r="309" ht="83" customHeight="1">
      <x:c r="A309" s="4" t="str">
        <x:v>ALG-92000065</x:v>
      </x:c>
      <x:c r="B309" s="4" t="str">
        <x:v>J04/J07/J12</x:v>
      </x:c>
      <x:c r="C309" s="4" t="str">
        <x:v>逐算法业务验收</x:v>
      </x:c>
      <x:c r="D309" s="4" t="str">
        <x:v>P1</x:v>
      </x:c>
      <x:c r="E309" s="4" t="str">
        <x:v>图片睡岗检测（92000065）完整实例</x:v>
      </x:c>
      <x:c r="F309" s="4" t="str">
        <x:v>目标设备确认该模板适用且依赖模型已安装；每一子试验单独记录；睡岗、正常低头阅读、短时闭眼</x:v>
      </x:c>
      <x:c r="G309" s="4" t="str">
        <x:v>本地素材筛选＋PRECISION-SERVER待盘点；不足项见资源缺口</x:v>
      </x:c>
      <x:c r="H309" s="4" t="str">
        <x:v>1. 从模板创建本轮场景，冻结依赖模型、参数和样本哈希。
2. 图片分析选择该场景并上传样本，确认实际处理完成。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309" s="4" t="str">
        <x:v>按场景定义标注睡岗；困难负例独立报告；所有子试验完成才可给整项结论；图片输出不自动生成视频告警；没有标签/模型记录阻塞。</x:v>
      </x:c>
      <x:c r="J309" s="4" t="str">
        <x:v>停止并删除本轮任务通道与场景；保留失败样本ID；恢复默认参数</x:v>
      </x:c>
      <x:c r="K309" s="4" t="str">
        <x:v>步骤观察、实际结果、证据文件与清理核对</x:v>
      </x:c>
      <x:c r="L309" s="4" t="str">
        <x:v>UI创建配置运行＋事件/结果核对；真值人工复核</x:v>
      </x:c>
      <x:c r="M309" s="4" t="str">
        <x:v>发布全量/算法变更</x:v>
      </x:c>
      <x:c r="N309" s="4" t="str">
        <x:v>仅模板所在平台：bm1688,cv186x,x86；存在配置不代表模型已安装</x:v>
      </x:c>
      <x:c r="O309" s="4" t="str">
        <x:v>data/resource/aiboxresource_bm1688/algorithm_template/92000065_picture.json</x:v>
      </x:c>
      <x:c r="P309" s="4" t="str">
        <x:v>未执行</x:v>
      </x:c>
      <x:c r="Q309" s="19" t="str"/>
      <x:c r="R309" s="12" t="str"/>
      <x:c r="S309" s="12" t="str"/>
      <x:c r="T309" s="4" t="n">
        <x:v>1</x:v>
      </x:c>
      <x:c r="U309" s="4" t="str">
        <x:v>DUT；MODEL-INVENTORY；SCENARIO-TRUTH</x:v>
      </x:c>
      <x:c r="V309" s="4" t="str">
        <x:v>codex-ui-and-evidence</x:v>
      </x:c>
      <x:c r="W309" s="4" t="str"/>
      <x:c r="X309" s="4" t="str"/>
      <x:c r="Y309" s="4" t="str"/>
      <x:c r="Z309" s="4" t="str"/>
      <x:c r="AA309" s="4" t="str"/>
      <x:c r="AB309" s="4" t="str"/>
      <x:c r="AC309" s="4" t="str"/>
    </x:row>
    <x:row r="310" ht="83" customHeight="1">
      <x:c r="A310" s="17" t="str">
        <x:v>ALG-92034707</x:v>
      </x:c>
      <x:c r="B310" s="17" t="str">
        <x:v>J04/J07/J12</x:v>
      </x:c>
      <x:c r="C310" s="17" t="str">
        <x:v>逐算法业务验收</x:v>
      </x:c>
      <x:c r="D310" s="17" t="str">
        <x:v>P1</x:v>
      </x:c>
      <x:c r="E310" s="17" t="str">
        <x:v>图片视觉语言大模型分析（92034707）完整实例</x:v>
      </x:c>
      <x:c r="F310" s="17" t="str">
        <x:v>目标设备确认该模板适用且依赖模型已安装；每一子试验单独记录；冻结业务问题；成立/不成立/信息不足图片或片段</x:v>
      </x:c>
      <x:c r="G310" s="17" t="str">
        <x:v>本地素材筛选＋PRECISION-SERVER待盘点；不足项见资源缺口</x:v>
      </x:c>
      <x:c r="H310" s="17" t="str">
        <x:v>1. 从模板创建本轮场景，冻结依赖模型、参数和样本哈希。
2. 图片分析选择该场景并上传样本，确认实际处理完成。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310" s="17" t="str">
        <x:v>按预先标注的答案语义评分；拒答/无法判断/超时分开；所有子试验完成才可给整项结论；图片输出不自动生成视频告警；没有标签/模型记录阻塞。</x:v>
      </x:c>
      <x:c r="J310" s="17" t="str">
        <x:v>停止并删除本轮任务通道与场景；保留失败样本ID；恢复默认参数</x:v>
      </x:c>
      <x:c r="K310" s="17" t="str">
        <x:v>步骤观察、实际结果、证据文件与清理核对</x:v>
      </x:c>
      <x:c r="L310" s="17" t="str">
        <x:v>UI创建配置运行＋事件/结果核对；真值人工复核</x:v>
      </x:c>
      <x:c r="M310" s="17" t="str">
        <x:v>发布全量/算法变更</x:v>
      </x:c>
      <x:c r="N310" s="17" t="str">
        <x:v>仅模板所在平台：bm1688,cv186x,x86；存在配置不代表模型已安装</x:v>
      </x:c>
      <x:c r="O310" s="17" t="str">
        <x:v>data/resource/aiboxresource_bm1688/algorithm_template/92034707_picture.json</x:v>
      </x:c>
      <x:c r="P310" s="17" t="str">
        <x:v>未执行</x:v>
      </x:c>
      <x:c r="Q310" s="19" t="str"/>
      <x:c r="R310" s="17" t="str"/>
      <x:c r="S310" s="17" t="str"/>
      <x:c r="T310" s="17" t="n">
        <x:v>1</x:v>
      </x:c>
      <x:c r="U310" s="17" t="str">
        <x:v>DUT；MODEL-INVENTORY；SCENARIO-TRUTH</x:v>
      </x:c>
      <x:c r="V310" s="17" t="str">
        <x:v>codex-ui-and-evidence</x:v>
      </x:c>
      <x:c r="W310" s="17" t="str"/>
      <x:c r="X310" s="17" t="str"/>
      <x:c r="Y310" s="17" t="str"/>
      <x:c r="Z310" s="17" t="str"/>
      <x:c r="AA310" s="17" t="str"/>
      <x:c r="AB310" s="17" t="str"/>
      <x:c r="AC310" s="17" t="str"/>
    </x:row>
    <x:row r="311" ht="83" customHeight="1">
      <x:c r="A311" s="4" t="str">
        <x:v>ALG-93000002</x:v>
      </x:c>
      <x:c r="B311" s="4" t="str">
        <x:v>J04/J07/J12</x:v>
      </x:c>
      <x:c r="C311" s="4" t="str">
        <x:v>逐算法业务验收</x:v>
      </x:c>
      <x:c r="D311" s="4" t="str">
        <x:v>P1</x:v>
      </x:c>
      <x:c r="E311" s="4" t="str">
        <x:v>双图人脸比对（93000002）完整实例</x:v>
      </x:c>
      <x:c r="F311" s="4" t="str">
        <x:v>目标设备确认该模板适用且依赖模型已安装；每一子试验单独记录；同人异拍、异人、缺侧、无脸/多脸</x:v>
      </x:c>
      <x:c r="G311" s="4" t="str">
        <x:v>本地素材筛选＋PRECISION-SERVER待盘点；不足项见资源缺口</x:v>
      </x:c>
      <x:c r="H311" s="4" t="str">
        <x:v>1. 从模板创建本轮场景，冻结依赖模型、参数和样本哈希。
2. 双图分析上传A/B样本，确认实际处理完成。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311" s="4" t="str">
        <x:v>恰一有效目标每侧才返回分数；空阈值只打分，边界按≥判断；所有子试验完成才可给整项结论；图片输出不自动生成视频告警；没有标签/模型记录阻塞。</x:v>
      </x:c>
      <x:c r="J311" s="4" t="str">
        <x:v>停止并删除本轮任务通道与场景；保留失败样本ID；恢复默认参数</x:v>
      </x:c>
      <x:c r="K311" s="4" t="str">
        <x:v>步骤观察、实际结果、证据文件与清理核对</x:v>
      </x:c>
      <x:c r="L311" s="4" t="str">
        <x:v>UI创建配置运行＋事件/结果核对；真值人工复核</x:v>
      </x:c>
      <x:c r="M311" s="4" t="str">
        <x:v>发布全量/算法变更</x:v>
      </x:c>
      <x:c r="N311" s="4" t="str">
        <x:v>仅模板所在平台：bm1688,cv186x,x86；存在配置不代表模型已安装</x:v>
      </x:c>
      <x:c r="O311" s="4" t="str">
        <x:v>data/resource/aiboxresource_bm1688/algorithm_template/93000002_pair.json</x:v>
      </x:c>
      <x:c r="P311" s="4" t="str">
        <x:v>未执行</x:v>
      </x:c>
      <x:c r="Q311" s="19" t="str"/>
      <x:c r="R311" s="12" t="str"/>
      <x:c r="S311" s="12" t="str"/>
      <x:c r="T311" s="4" t="n">
        <x:v>1</x:v>
      </x:c>
      <x:c r="U311" s="4" t="str">
        <x:v>DUT；MODEL-INVENTORY；FACE-TRUTH；FACE-VIDEO</x:v>
      </x:c>
      <x:c r="V311" s="4" t="str">
        <x:v>codex-ui-and-evidence</x:v>
      </x:c>
      <x:c r="W311" s="4" t="str"/>
      <x:c r="X311" s="4" t="str"/>
      <x:c r="Y311" s="4" t="str"/>
      <x:c r="Z311" s="4" t="str"/>
      <x:c r="AA311" s="4" t="str"/>
      <x:c r="AB311" s="4" t="str"/>
      <x:c r="AC311" s="4" t="str"/>
    </x:row>
    <x:row r="312" ht="83" customHeight="1">
      <x:c r="A312" s="17" t="str">
        <x:v>ALG-93000058</x:v>
      </x:c>
      <x:c r="B312" s="17" t="str">
        <x:v>J04/J07/J12</x:v>
      </x:c>
      <x:c r="C312" s="17" t="str">
        <x:v>逐算法业务验收</x:v>
      </x:c>
      <x:c r="D312" s="17" t="str">
        <x:v>P1</x:v>
      </x:c>
      <x:c r="E312" s="17" t="str">
        <x:v>双图工服比对（93000058）完整实例</x:v>
      </x:c>
      <x:c r="F312" s="17" t="str">
        <x:v>目标设备确认该模板适用且依赖模型已安装；每一子试验单独记录；同服异人、异服同人、缺侧、无人体/多人体</x:v>
      </x:c>
      <x:c r="G312" s="17" t="str">
        <x:v>本地素材筛选＋PRECISION-SERVER待盘点；不足项见资源缺口</x:v>
      </x:c>
      <x:c r="H312" s="17" t="str">
        <x:v>1. 从模板创建本轮场景，冻结依赖模型、参数和样本哈希。
2. 双图分析上传A/B样本，确认实际处理完成。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312" s="17" t="str">
        <x:v>只解释人体外观相似度；每侧一目标；不依赖底库也不当概率；所有子试验完成才可给整项结论；图片输出不自动生成视频告警；没有标签/模型记录阻塞。</x:v>
      </x:c>
      <x:c r="J312" s="17" t="str">
        <x:v>停止并删除本轮任务通道与场景；保留失败样本ID；恢复默认参数</x:v>
      </x:c>
      <x:c r="K312" s="17" t="str">
        <x:v>步骤观察、实际结果、证据文件与清理核对</x:v>
      </x:c>
      <x:c r="L312" s="17" t="str">
        <x:v>UI创建配置运行＋事件/结果核对；真值人工复核</x:v>
      </x:c>
      <x:c r="M312" s="17" t="str">
        <x:v>发布全量/算法变更</x:v>
      </x:c>
      <x:c r="N312" s="17" t="str">
        <x:v>仅模板所在平台：bm1688,cv186x,x86；存在配置不代表模型已安装</x:v>
      </x:c>
      <x:c r="O312" s="17" t="str">
        <x:v>data/resource/aiboxresource_bm1688/algorithm_template/93000058_pair.json</x:v>
      </x:c>
      <x:c r="P312" s="17" t="str">
        <x:v>未执行</x:v>
      </x:c>
      <x:c r="Q312" s="19" t="str"/>
      <x:c r="R312" s="17" t="str"/>
      <x:c r="S312" s="17" t="str"/>
      <x:c r="T312" s="17" t="n">
        <x:v>1</x:v>
      </x:c>
      <x:c r="U312" s="17" t="str">
        <x:v>DUT；MODEL-INVENTORY；UNIFORM-TRUTH</x:v>
      </x:c>
      <x:c r="V312" s="17" t="str">
        <x:v>codex-ui-and-evidence</x:v>
      </x:c>
      <x:c r="W312" s="17" t="str"/>
      <x:c r="X312" s="17" t="str"/>
      <x:c r="Y312" s="17" t="str"/>
      <x:c r="Z312" s="17" t="str"/>
      <x:c r="AA312" s="17" t="str"/>
      <x:c r="AB312" s="17" t="str"/>
      <x:c r="AC312" s="17" t="str"/>
    </x:row>
    <x:row r="313" ht="68" customHeight="1">
      <x:c r="A313" t="str">
        <x:v>FACE-014</x:v>
      </x:c>
      <x:c r="B313" t="str">
        <x:v>J12</x:v>
      </x:c>
      <x:c r="C313" t="str">
        <x:v>人脸底库与识别</x:v>
      </x:c>
      <x:c r="D313" t="str">
        <x:v>P1</x:v>
      </x:c>
      <x:c r="E313" t="str">
        <x:v>导入失败清单访问控制</x:v>
      </x:c>
      <x:c r="F313" t="str">
        <x:v>本轮独立测试对象；已记录基线；仅在授权资源内操作。</x:v>
      </x:c>
      <x:c r="G313" t="str"/>
      <x:c r="H313" t="str">
        <x:v>1. 生成本轮失败导入清单
2. 使用已登录会话查看失败原因
3. 使用无Cookie/token的新请求访问同一清单
4. 核对拒绝访问与文件生命周期</x:v>
      </x:c>
      <x:c r="I313" t="str">
        <x:v>未授权请求不能读取含人员身份线索的失败文件名；授权会话能诊断失败；若产品契约不同需评审，不自动放宽。</x:v>
      </x:c>
      <x:c r="J313" t="str">
        <x:v>清理本轮创建对象；保留脱敏证据；恢复原配置。</x:v>
      </x:c>
      <x:c r="K313" t="str">
        <x:v>步骤观察、实际结果、证据文件与清理核对</x:v>
      </x:c>
      <x:c r="L313" t="str">
        <x:v>UI主操作＋独立请求/脚本证据</x:v>
      </x:c>
      <x:c r="M313" t="str">
        <x:v>受影响模块回归</x:v>
      </x:c>
      <x:c r="N313" t="str">
        <x:v>目标设备具备该能力</x:v>
      </x:c>
      <x:c r="O313" t="str">
        <x:v>src/api/ApiRouter.cc；人脸导入页面</x:v>
      </x:c>
      <x:c r="P313" t="str">
        <x:v>未执行</x:v>
      </x:c>
      <x:c r="Q313" s="20" t="str"/>
      <x:c r="R313" t="str"/>
      <x:c r="S313" t="str"/>
      <x:c r="T313" s="4" t="n">
        <x:v>1</x:v>
      </x:c>
      <x:c r="U313" s="4" t="str">
        <x:v>DUT；FACE-ZIP；GENERATED-FIXTURES</x:v>
      </x:c>
      <x:c r="V313" s="4" t="str">
        <x:v>codex-ui-and-evidence</x:v>
      </x:c>
      <x:c r="W313" s="4" t="str"/>
      <x:c r="X313" s="4" t="str"/>
      <x:c r="Y313" s="4" t="str"/>
      <x:c r="Z313" s="4" t="str"/>
      <x:c r="AA313" s="4" t="str"/>
      <x:c r="AB313" s="4" t="str"/>
      <x:c r="AC313" s="4" t="str"/>
    </x:row>
    <x:row r="314" ht="68" customHeight="1">
      <x:c r="A314" s="18" t="str">
        <x:v>ACC-009</x:v>
      </x:c>
      <x:c r="B314" s="18" t="str">
        <x:v>J12</x:v>
      </x:c>
      <x:c r="C314" s="18" t="str">
        <x:v>精度与样本表现</x:v>
      </x:c>
      <x:c r="D314" s="18" t="str">
        <x:v>P1</x:v>
      </x:c>
      <x:c r="E314" s="18" t="str">
        <x:v>损坏精度素材预检与结果隔离</x:v>
      </x:c>
      <x:c r="F314" s="18" t="str">
        <x:v>本轮独立测试对象；已记录基线；仅在授权资源内操作。</x:v>
      </x:c>
      <x:c r="G314" s="18" t="str"/>
      <x:c r="H314" s="18" t="str">
        <x:v>1. 准备正常视频和缺moov的损坏副本
2. 预检并记录可解码性
3. 运行已知正常样本
4. 检查损坏样本不进入PASS/FAIL分母</x:v>
      </x:c>
      <x:c r="I314" s="18" t="str">
        <x:v>坏视频记RESOURCE_INVALID/ERROR，保留原因；不将推流失败认作漏检；不影响正常样本。</x:v>
      </x:c>
      <x:c r="J314" s="18" t="str">
        <x:v>清理本轮创建对象；保留脱敏证据；恢复原配置。</x:v>
      </x:c>
      <x:c r="K314" s="18" t="str">
        <x:v>步骤观察、实际结果、证据文件与清理核对</x:v>
      </x:c>
      <x:c r="L314" s="18" t="str">
        <x:v>UI主操作＋独立请求/脚本证据</x:v>
      </x:c>
      <x:c r="M314" s="18" t="str">
        <x:v>受影响模块回归</x:v>
      </x:c>
      <x:c r="N314" s="18" t="str">
        <x:v>目标设备具备该能力</x:v>
      </x:c>
      <x:c r="O314" s="18" t="str">
        <x:v>tools/scenario-bench/src/accuracy/media-preflight.js</x:v>
      </x:c>
      <x:c r="P314" s="18" t="str">
        <x:v>未执行</x:v>
      </x:c>
      <x:c r="Q314" s="20" t="str"/>
      <x:c r="R314" s="18" t="str"/>
      <x:c r="S314" s="18" t="str"/>
      <x:c r="T314" s="17" t="n">
        <x:v>1</x:v>
      </x:c>
      <x:c r="U314" s="17" t="str">
        <x:v>DUT；PRECISION-SERVER；GENERATED-FIXTURES</x:v>
      </x:c>
      <x:c r="V314" s="17" t="str">
        <x:v>codex-ui-and-evidence</x:v>
      </x:c>
      <x:c r="W314" s="17" t="str"/>
      <x:c r="X314" s="17" t="str"/>
      <x:c r="Y314" s="17" t="str"/>
      <x:c r="Z314" s="17" t="str"/>
      <x:c r="AA314" s="17" t="str"/>
      <x:c r="AB314" s="17" t="str"/>
      <x:c r="AC314" s="17" t="str"/>
    </x:row>
    <x:row r="315" ht="83" customHeight="1">
      <x:c r="A315" t="str">
        <x:v>PERF-010</x:v>
      </x:c>
      <x:c r="B315" t="str">
        <x:v>J12</x:v>
      </x:c>
      <x:c r="C315" t="str">
        <x:v>容量稳定性与异常恢复</x:v>
      </x:c>
      <x:c r="D315" t="str">
        <x:v>P1</x:v>
      </x:c>
      <x:c r="E315" t="str">
        <x:v>资源不足后的任务恢复与串行复测</x:v>
      </x:c>
      <x:c r="F315" t="str">
        <x:v>本轮独立测试对象；已记录基线；仅在授权资源内操作。</x:v>
      </x:c>
      <x:c r="G315" t="str"/>
      <x:c r="H315" t="str">
        <x:v>1. 冻结原有任务和资源基线
2. 在约定容量内逐级创建QA任务并记录资源
3. 出现资源拒绝时停止增加负载
4. 只停止本轮任务后单路重试
5. 核对原任务计数、残留与两轮结果</x:v>
      </x:c>
      <x:c r="I315" t="str">
        <x:v>容量不足有明确错误且不损害原任务；释放后恢复；首轮与重测分别保留，不覆盖首次异常。</x:v>
      </x:c>
      <x:c r="J315" t="str">
        <x:v>清理本轮创建对象；保留脱敏证据；恢复原配置。</x:v>
      </x:c>
      <x:c r="K315" t="str">
        <x:v>步骤观察、实际结果、证据文件与清理核对</x:v>
      </x:c>
      <x:c r="L315" t="str">
        <x:v>UI主操作＋独立请求/脚本证据</x:v>
      </x:c>
      <x:c r="M315" t="str">
        <x:v>受影响模块回归</x:v>
      </x:c>
      <x:c r="N315" t="str">
        <x:v>目标设备具备该能力</x:v>
      </x:c>
      <x:c r="O315" t="str">
        <x:v>tools/scenario-bench/src/task-runner.js</x:v>
      </x:c>
      <x:c r="P315" t="str">
        <x:v>未执行</x:v>
      </x:c>
      <x:c r="Q315" s="20" t="str"/>
      <x:c r="R315" t="str"/>
      <x:c r="S315" t="str"/>
      <x:c r="T315" s="4" t="n">
        <x:v>1</x:v>
      </x:c>
      <x:c r="U315" s="4" t="str">
        <x:v>DUT；PRECISION-SERVER；ACCEPTANCE</x:v>
      </x:c>
      <x:c r="V315" s="4" t="str">
        <x:v>codex-ui-and-evidence</x:v>
      </x:c>
      <x:c r="W315" s="4" t="str"/>
      <x:c r="X315" s="4" t="str"/>
      <x:c r="Y315" s="4" t="str"/>
      <x:c r="Z315" s="4" t="str"/>
      <x:c r="AA315" s="4" t="str"/>
      <x:c r="AB315" s="4" t="str"/>
      <x:c r="AC315" s="4" t="str"/>
    </x:row>
    <x:row r="316" ht="83" customHeight="1">
      <x:c r="A316" s="18" t="str">
        <x:v>REG-006</x:v>
      </x:c>
      <x:c r="B316" s="18" t="str">
        <x:v>J12</x:v>
      </x:c>
      <x:c r="C316" s="18" t="str">
        <x:v>持续回归与交付</x:v>
      </x:c>
      <x:c r="D316" s="18" t="str">
        <x:v>P1</x:v>
      </x:c>
      <x:c r="E316" s="18" t="str">
        <x:v>逐用例报告与断点续测完整性</x:v>
      </x:c>
      <x:c r="F316" s="18" t="str">
        <x:v>本轮独立测试对象；已记录基线；仅在授权资源内操作。</x:v>
      </x:c>
      <x:c r="G316" s="18" t="str"/>
      <x:c r="H316" s="18" t="str">
        <x:v>1. 冻结用例版本并生成同数量结果行
2. 记录一条通过/失败/阻塞结果
3. 模拟执行进程中断并读取下一未完成项
4. 检查历史尝试保留与报告筛选
5. 核对未执行及缺证据项未显示通过</x:v>
      </x:c>
      <x:c r="I316" s="18" t="str">
        <x:v>每条冻结用例恰好一行；无逐步骤证据不能新记通过；重测不覆盖旧失败；精度样本不充当功能用例。</x:v>
      </x:c>
      <x:c r="J316" s="18" t="str">
        <x:v>清理本轮创建对象；保留脱敏证据；恢复原配置。</x:v>
      </x:c>
      <x:c r="K316" s="18" t="str">
        <x:v>步骤观察、实际结果、证据文件与清理核对</x:v>
      </x:c>
      <x:c r="L316" s="18" t="str">
        <x:v>UI主操作＋独立请求/脚本证据</x:v>
      </x:c>
      <x:c r="M316" s="18" t="str">
        <x:v>受影响模块回归</x:v>
      </x:c>
      <x:c r="N316" s="18" t="str">
        <x:v>目标设备具备该能力</x:v>
      </x:c>
      <x:c r="O316" s="18" t="str">
        <x:v>tools/customer_journey.py</x:v>
      </x:c>
      <x:c r="P316" s="18" t="str">
        <x:v>未执行</x:v>
      </x:c>
      <x:c r="Q316" s="20" t="str"/>
      <x:c r="R316" s="18" t="str"/>
      <x:c r="S316" s="18" t="str"/>
      <x:c r="T316" s="17" t="n">
        <x:v>1</x:v>
      </x:c>
      <x:c r="U316" s="17" t="str">
        <x:v>DUT</x:v>
      </x:c>
      <x:c r="V316" s="17" t="str">
        <x:v>codex-ui-and-evidence</x:v>
      </x:c>
      <x:c r="W316" s="17" t="str"/>
      <x:c r="X316" s="17" t="str"/>
      <x:c r="Y316" s="17" t="str"/>
      <x:c r="Z316" s="17" t="str"/>
      <x:c r="AA316" s="17" t="str"/>
      <x:c r="AB316" s="17" t="str"/>
      <x:c r="AC316" s="17" t="str"/>
    </x:row>
    <x:row r="317" ht="125" customHeight="1">
      <x:c r="A317" s="31" t="str">
        <x:v>MODEL-012</x:v>
      </x:c>
      <x:c r="B317" s="31" t="str">
        <x:v>J03</x:v>
      </x:c>
      <x:c r="C317" s="31" t="str">
        <x:v>模型仓库与授权</x:v>
      </x:c>
      <x:c r="D317" s="31" t="str">
        <x:v>P0</x:v>
      </x:c>
      <x:c r="E317" s="31" t="str">
        <x:v>模型编号与名称搜索一致性</x:v>
      </x:c>
      <x:c r="F317" s="31" t="str">
        <x:v>已登录；仅使用本轮隔离测试对象和授权素材；已记录原配置。</x:v>
      </x:c>
      <x:c r="G317" s="31" t="str">
        <x:v>按资源编号读取本轮私有配置</x:v>
      </x:c>
      <x:c r="H317" s="31" t="str">
        <x:v>1. 导入本轮唯一编号和名称的模型
2. 分别按完整编号、名称、无匹配文本搜索
3. 清空搜索并打开详情
4. 核对编号和数量</x:v>
      </x:c>
      <x:c r="I317" s="31" t="str">
        <x:v>完整编号与名称均找到同一模型；无匹配返回空；清空恢复数量。</x:v>
      </x:c>
      <x:c r="J317" s="31" t="str">
        <x:v>清理本轮模型、场景、底库或任务；恢复原配置；保留脱敏证据。</x:v>
      </x:c>
      <x:c r="K317" s="31" t="str">
        <x:v>保存关键页面、回读结果和失败复现证据</x:v>
      </x:c>
      <x:c r="L317" s="31" t="str">
        <x:v>UI主操作＋API只读核对</x:v>
      </x:c>
      <x:c r="M317" s="31" t="str">
        <x:v>受影响模块回归</x:v>
      </x:c>
      <x:c r="N317" s="31" t="str">
        <x:v>目标设备具备该能力</x:v>
      </x:c>
      <x:c r="O317" s="31" t="str">
        <x:v>src/web/src/views；模型仓库搜索回归</x:v>
      </x:c>
      <x:c r="P317" s="31" t="str">
        <x:v>未执行</x:v>
      </x:c>
      <x:c r="Q317" s="32" t="str">
        <x:v>新增回归项；无真值素材时仅验证功能返回，不宣称精度。</x:v>
      </x:c>
      <x:c r="R317" s="31"/>
      <x:c r="S317" s="31"/>
      <x:c r="T317" s="9" t="n">
        <x:v>1</x:v>
      </x:c>
      <x:c r="U317" s="9" t="str">
        <x:v>DUT；MODEL-INVENTORY；MODEL-PACKAGES</x:v>
      </x:c>
      <x:c r="V317" s="9" t="str">
        <x:v>codex-ui-and-evidence</x:v>
      </x:c>
      <x:c r="W317" s="9"/>
      <x:c r="X317" s="9"/>
      <x:c r="Y317" s="9"/>
      <x:c r="Z317" s="9"/>
      <x:c r="AA317" s="9"/>
      <x:c r="AB317" s="9"/>
      <x:c r="AC317" s="9"/>
    </x:row>
    <x:row r="318" ht="125" customHeight="1">
      <x:c r="A318" s="31" t="str">
        <x:v>MODEL-013</x:v>
      </x:c>
      <x:c r="B318" s="31" t="str">
        <x:v>J03</x:v>
      </x:c>
      <x:c r="C318" s="31" t="str">
        <x:v>模型仓库与授权</x:v>
      </x:c>
      <x:c r="D318" s="31" t="str">
        <x:v>P0</x:v>
      </x:c>
      <x:c r="E318" s="31" t="str">
        <x:v>模型关联场景数量即时更新</x:v>
      </x:c>
      <x:c r="F318" s="31" t="str">
        <x:v>已登录；仅使用本轮隔离测试对象和授权素材；已记录原配置。</x:v>
      </x:c>
      <x:c r="G318" s="31" t="str">
        <x:v>按资源编号读取本轮私有配置</x:v>
      </x:c>
      <x:c r="H318" s="31" t="str">
        <x:v>1. 新建场景并绑定本轮模型
2. 打开模型详情记录关联场景
3. 刷新页面复核
4. 解除绑定后再次核对</x:v>
      </x:c>
      <x:c r="I318" s="31" t="str">
        <x:v>绑定后显示真实场景及数量，解除后移除；刷新前后结果一致。</x:v>
      </x:c>
      <x:c r="J318" s="31" t="str">
        <x:v>清理本轮模型、场景、底库或任务；恢复原配置；保留脱敏证据。</x:v>
      </x:c>
      <x:c r="K318" s="31" t="str">
        <x:v>保存关键页面、回读结果和失败复现证据</x:v>
      </x:c>
      <x:c r="L318" s="31" t="str">
        <x:v>UI主操作＋API只读核对</x:v>
      </x:c>
      <x:c r="M318" s="31" t="str">
        <x:v>受影响模块回归</x:v>
      </x:c>
      <x:c r="N318" s="31" t="str">
        <x:v>目标设备具备该能力</x:v>
      </x:c>
      <x:c r="O318" s="31" t="str">
        <x:v>src/service/algorithm；模型依赖关系回归</x:v>
      </x:c>
      <x:c r="P318" s="31" t="str">
        <x:v>未执行</x:v>
      </x:c>
      <x:c r="Q318" s="32" t="str">
        <x:v>新增回归项；无真值素材时仅验证功能返回，不宣称精度。</x:v>
      </x:c>
      <x:c r="R318" s="31"/>
      <x:c r="S318" s="31"/>
      <x:c r="T318" s="9" t="n">
        <x:v>1</x:v>
      </x:c>
      <x:c r="U318" s="9" t="str">
        <x:v>DUT；MODEL-INVENTORY；MODEL-PACKAGES</x:v>
      </x:c>
      <x:c r="V318" s="9" t="str">
        <x:v>codex-ui-and-evidence</x:v>
      </x:c>
      <x:c r="W318" s="9"/>
      <x:c r="X318" s="9"/>
      <x:c r="Y318" s="9"/>
      <x:c r="Z318" s="9"/>
      <x:c r="AA318" s="9"/>
      <x:c r="AB318" s="9"/>
      <x:c r="AC318" s="9"/>
    </x:row>
    <x:row r="319" ht="125" customHeight="1">
      <x:c r="A319" s="31" t="str">
        <x:v>SCENE-010</x:v>
      </x:c>
      <x:c r="B319" s="31" t="str">
        <x:v>J03</x:v>
      </x:c>
      <x:c r="C319" s="31" t="str">
        <x:v>场景管理</x:v>
      </x:c>
      <x:c r="D319" s="31" t="str">
        <x:v>P0</x:v>
      </x:c>
      <x:c r="E319" s="31" t="str">
        <x:v>图片分析场景选项随新增删除同步</x:v>
      </x:c>
      <x:c r="F319" s="31" t="str">
        <x:v>已登录；仅使用本轮隔离测试对象和授权素材；已记录原配置。</x:v>
      </x:c>
      <x:c r="G319" s="31" t="str">
        <x:v>按资源编号读取本轮私有配置</x:v>
      </x:c>
      <x:c r="H319" s="31" t="str">
        <x:v>1. 新建图片场景并保存
2. 不刷新页面进入图片分析选项
3. 删除本轮场景
4. 再次进入选项并刷新对照</x:v>
      </x:c>
      <x:c r="I319" s="31" t="str">
        <x:v>新建可立即选择；删除后不残留失效选项；页面刷新不改变一致性结论。</x:v>
      </x:c>
      <x:c r="J319" s="31" t="str">
        <x:v>清理本轮模型、场景、底库或任务；恢复原配置；保留脱敏证据。</x:v>
      </x:c>
      <x:c r="K319" s="31" t="str">
        <x:v>保存关键页面、回读结果和失败复现证据</x:v>
      </x:c>
      <x:c r="L319" s="31" t="str">
        <x:v>UI主操作＋API只读核对</x:v>
      </x:c>
      <x:c r="M319" s="31" t="str">
        <x:v>受影响模块回归</x:v>
      </x:c>
      <x:c r="N319" s="31" t="str">
        <x:v>目标设备具备该能力</x:v>
      </x:c>
      <x:c r="O319" s="31" t="str">
        <x:v>src/web/src/views/gam/imageAnalysis；场景选项同步回归</x:v>
      </x:c>
      <x:c r="P319" s="31" t="str">
        <x:v>未执行</x:v>
      </x:c>
      <x:c r="Q319" s="32" t="str">
        <x:v>新增回归项；无真值素材时仅验证功能返回，不宣称精度。</x:v>
      </x:c>
      <x:c r="R319" s="31"/>
      <x:c r="S319" s="31"/>
      <x:c r="T319" s="9" t="n">
        <x:v>1</x:v>
      </x:c>
      <x:c r="U319" s="9" t="str">
        <x:v>DUT；MODEL-INVENTORY；MODEL-PACKAGES</x:v>
      </x:c>
      <x:c r="V319" s="9" t="str">
        <x:v>codex-ui-and-evidence</x:v>
      </x:c>
      <x:c r="W319" s="9"/>
      <x:c r="X319" s="9"/>
      <x:c r="Y319" s="9"/>
      <x:c r="Z319" s="9"/>
      <x:c r="AA319" s="9"/>
      <x:c r="AB319" s="9"/>
      <x:c r="AC319" s="9"/>
    </x:row>
    <x:row r="320" ht="125" customHeight="1">
      <x:c r="A320" s="31" t="str">
        <x:v>SCENE-011</x:v>
      </x:c>
      <x:c r="B320" s="31" t="str">
        <x:v>J03</x:v>
      </x:c>
      <x:c r="C320" s="31" t="str">
        <x:v>场景管理</x:v>
      </x:c>
      <x:c r="D320" s="31" t="str">
        <x:v>P0</x:v>
      </x:c>
      <x:c r="E320" s="31" t="str">
        <x:v>缺少模型时分析错误明确呈现与恢复</x:v>
      </x:c>
      <x:c r="F320" s="31" t="str">
        <x:v>已登录；仅使用本轮隔离测试对象和授权素材；已记录原配置。</x:v>
      </x:c>
      <x:c r="G320" s="31" t="str">
        <x:v>按资源编号读取本轮私有配置</x:v>
      </x:c>
      <x:c r="H320" s="31" t="str">
        <x:v>1. 为测试场景准备可恢复模型备份
2. 在允许的测试路径构造缺模型状态
3. 查看场景状态并提交图片分析
4. 恢复模型并用相同图片复测</x:v>
      </x:c>
      <x:c r="I320" s="31" t="str">
        <x:v>缺依赖显示明确状态和原因；分析不能长期停在待分析；恢复后成功返回。若删除被正确阻止，记录该保护并走支持的隔离缺依赖夹具。</x:v>
      </x:c>
      <x:c r="J320" s="31" t="str">
        <x:v>清理本轮模型、场景、底库或任务；恢复原配置；保留脱敏证据。</x:v>
      </x:c>
      <x:c r="K320" s="31" t="str">
        <x:v>保存关键页面、回读结果和失败复现证据</x:v>
      </x:c>
      <x:c r="L320" s="31" t="str">
        <x:v>UI主操作＋API只读核对</x:v>
      </x:c>
      <x:c r="M320" s="31" t="str">
        <x:v>受影响模块回归</x:v>
      </x:c>
      <x:c r="N320" s="31" t="str">
        <x:v>目标设备具备该能力</x:v>
      </x:c>
      <x:c r="O320" s="31" t="str">
        <x:v>src/service/algorithm；src/web/src/views/gam/imageAnalysis</x:v>
      </x:c>
      <x:c r="P320" s="31" t="str">
        <x:v>未执行</x:v>
      </x:c>
      <x:c r="Q320" s="32" t="str">
        <x:v>新增回归项；无真值素材时仅验证功能返回，不宣称精度。</x:v>
      </x:c>
      <x:c r="R320" s="31"/>
      <x:c r="S320" s="31"/>
      <x:c r="T320" s="9" t="n">
        <x:v>1</x:v>
      </x:c>
      <x:c r="U320" s="9" t="str">
        <x:v>DUT；MODEL-INVENTORY；MODEL-PACKAGES</x:v>
      </x:c>
      <x:c r="V320" s="9" t="str">
        <x:v>codex-ui-and-evidence</x:v>
      </x:c>
      <x:c r="W320" s="9"/>
      <x:c r="X320" s="9"/>
      <x:c r="Y320" s="9"/>
      <x:c r="Z320" s="9"/>
      <x:c r="AA320" s="9"/>
      <x:c r="AB320" s="9"/>
      <x:c r="AC320" s="9"/>
    </x:row>
    <x:row r="321" ht="125" customHeight="1">
      <x:c r="A321" s="31" t="str">
        <x:v>REG-007</x:v>
      </x:c>
      <x:c r="B321" s="31" t="str">
        <x:v>J12</x:v>
      </x:c>
      <x:c r="C321" s="31" t="str">
        <x:v>持续回归与交付</x:v>
      </x:c>
      <x:c r="D321" s="31" t="str">
        <x:v>P1</x:v>
      </x:c>
      <x:c r="E321" s="31" t="str">
        <x:v>整数输入不得静默拼接小数数字</x:v>
      </x:c>
      <x:c r="F321" s="31" t="str">
        <x:v>已登录；仅使用本轮隔离测试对象和授权素材；已记录原配置。</x:v>
      </x:c>
      <x:c r="G321" s="31" t="str">
        <x:v>按资源编号读取本轮私有配置</x:v>
      </x:c>
      <x:c r="H321" s="31" t="str">
        <x:v>1. 记录MQTT端口和本地视频播放次数基线
2. 分别输入负数、小数1.5和超上限数值
3. 保存并刷新回读
4. 恢复原值和服务开关</x:v>
      </x:c>
      <x:c r="I321" s="31" t="str">
        <x:v>小数和负数不得通过删除符号被改成其他合法整数保存；边界处理明确；合法值准确持久化。</x:v>
      </x:c>
      <x:c r="J321" s="31" t="str">
        <x:v>清理本轮模型、场景、底库或任务；恢复原配置；保留脱敏证据。</x:v>
      </x:c>
      <x:c r="K321" s="31" t="str">
        <x:v>保存关键页面、回读结果和失败复现证据</x:v>
      </x:c>
      <x:c r="L321" s="31" t="str">
        <x:v>UI主操作＋独立请求/脚本证据</x:v>
      </x:c>
      <x:c r="M321" s="31" t="str">
        <x:v>受影响模块回归</x:v>
      </x:c>
      <x:c r="N321" s="31" t="str">
        <x:v>目标设备具备该能力</x:v>
      </x:c>
      <x:c r="O321" s="31" t="str">
        <x:v>src/web/src/views/box/dataDocking/index.vue；src/web/src/views/gam/taskManager/editTask/serviceConfig.vue</x:v>
      </x:c>
      <x:c r="P321" s="31" t="str">
        <x:v>未执行</x:v>
      </x:c>
      <x:c r="Q321" s="32" t="str">
        <x:v>新增回归项；无真值素材时仅验证功能返回，不宣称精度。</x:v>
      </x:c>
      <x:c r="R321" s="31"/>
      <x:c r="S321" s="31"/>
      <x:c r="T321" s="9" t="n">
        <x:v>1</x:v>
      </x:c>
      <x:c r="U321" s="9" t="str">
        <x:v>DUT</x:v>
      </x:c>
      <x:c r="V321" s="9" t="str">
        <x:v>codex-ui-and-evidence</x:v>
      </x:c>
      <x:c r="W321" s="9"/>
      <x:c r="X321" s="9"/>
      <x:c r="Y321" s="9"/>
      <x:c r="Z321" s="9"/>
      <x:c r="AA321" s="9"/>
      <x:c r="AB321" s="9"/>
      <x:c r="AC321" s="9"/>
    </x:row>
    <x:row r="322" ht="125" customHeight="1">
      <x:c r="A322" s="31" t="str">
        <x:v>REG-008</x:v>
      </x:c>
      <x:c r="B322" s="31" t="str">
        <x:v>J12</x:v>
      </x:c>
      <x:c r="C322" s="31" t="str">
        <x:v>持续回归与交付</x:v>
      </x:c>
      <x:c r="D322" s="31" t="str">
        <x:v>P1</x:v>
      </x:c>
      <x:c r="E322" s="31" t="str">
        <x:v>持续写日志时日志导出可用性</x:v>
      </x:c>
      <x:c r="F322" s="31" t="str">
        <x:v>已登录；仅使用本轮隔离测试对象和授权素材；已记录原配置。</x:v>
      </x:c>
      <x:c r="G322" s="31" t="str">
        <x:v>按资源编号读取本轮私有配置</x:v>
      </x:c>
      <x:c r="H322" s="31" t="str">
        <x:v>1. 运行本轮视频任务形成持续日志
2. 通过UI导出日志
3. 检查用户侧文件交付与归档可读性
4. 核对日志导出错误及任务继续运行</x:v>
      </x:c>
      <x:c r="I322" s="31" t="str">
        <x:v>活跃日志导出有一致快照或明确可用结果；归档过程中文件增长不导致笼统系统错误；不得将仅点击成功作为下载成功。</x:v>
      </x:c>
      <x:c r="J322" s="31" t="str">
        <x:v>清理本轮模型、场景、底库或任务；恢复原配置；保留脱敏证据。</x:v>
      </x:c>
      <x:c r="K322" s="31" t="str">
        <x:v>保存关键页面、回读结果和失败复现证据</x:v>
      </x:c>
      <x:c r="L322" s="31" t="str">
        <x:v>UI主操作＋独立请求/脚本证据</x:v>
      </x:c>
      <x:c r="M322" s="31" t="str">
        <x:v>受影响模块回归</x:v>
      </x:c>
      <x:c r="N322" s="31" t="str">
        <x:v>目标设备具备该能力</x:v>
      </x:c>
      <x:c r="O322" s="31" t="str">
        <x:v>src/service/system；日志导出回归</x:v>
      </x:c>
      <x:c r="P322" s="31" t="str">
        <x:v>未执行</x:v>
      </x:c>
      <x:c r="Q322" s="32" t="str">
        <x:v>新增回归项；无真值素材时仅验证功能返回，不宣称精度。</x:v>
      </x:c>
      <x:c r="R322" s="31"/>
      <x:c r="S322" s="31"/>
      <x:c r="T322" s="9" t="n">
        <x:v>1</x:v>
      </x:c>
      <x:c r="U322" s="9" t="str">
        <x:v>DUT；FACE-VIDEO</x:v>
      </x:c>
      <x:c r="V322" s="9" t="str">
        <x:v>codex-ui-and-evidence</x:v>
      </x:c>
      <x:c r="W322" s="9"/>
      <x:c r="X322" s="9"/>
      <x:c r="Y322" s="9"/>
      <x:c r="Z322" s="9"/>
      <x:c r="AA322" s="9"/>
      <x:c r="AB322" s="9"/>
      <x:c r="AC322" s="9"/>
    </x:row>
    <x:row r="323" ht="125" customHeight="1">
      <x:c r="A323" s="31" t="str">
        <x:v>FACE-015</x:v>
      </x:c>
      <x:c r="B323" s="31" t="str">
        <x:v>J05</x:v>
      </x:c>
      <x:c r="C323" s="31" t="str">
        <x:v>人脸底库与识别</x:v>
      </x:c>
      <x:c r="D323" s="31" t="str">
        <x:v>P0</x:v>
      </x:c>
      <x:c r="E323" s="31" t="str">
        <x:v>人脸入库与同图比对功能返回</x:v>
      </x:c>
      <x:c r="F323" s="31" t="str">
        <x:v>已登录；仅使用本轮隔离测试对象和授权素材；已记录原配置。</x:v>
      </x:c>
      <x:c r="G323" s="31" t="str">
        <x:v>按资源编号读取本轮私有配置</x:v>
      </x:c>
      <x:c r="H323" s="31" t="str">
        <x:v>1. 创建本轮人脸库
2. 登记有效单人脸图
3. 用同图执行人脸比对
4. 核对候选身份、分数和错误状态</x:v>
      </x:c>
      <x:c r="I323" s="31" t="str">
        <x:v>返回有效候选身份和可解释分数，候选属于本轮样本；不以同图结果宣称独立样本识别精度。</x:v>
      </x:c>
      <x:c r="J323" s="31" t="str">
        <x:v>清理本轮模型、场景、底库或任务；恢复原配置；保留脱敏证据。</x:v>
      </x:c>
      <x:c r="K323" s="31" t="str">
        <x:v>保存关键页面、回读结果和失败复现证据</x:v>
      </x:c>
      <x:c r="L323" s="31" t="str">
        <x:v>UI主操作＋API只读核对</x:v>
      </x:c>
      <x:c r="M323" s="31" t="str">
        <x:v>受影响模块回归</x:v>
      </x:c>
      <x:c r="N323" s="31" t="str">
        <x:v>目标设备具备该能力</x:v>
      </x:c>
      <x:c r="O323" s="31" t="str">
        <x:v>src/web/src/views/box/basePicManagement/people；src/web/src/views/gam/imageAnalysis</x:v>
      </x:c>
      <x:c r="P323" s="31" t="str">
        <x:v>未执行</x:v>
      </x:c>
      <x:c r="Q323" s="32" t="str">
        <x:v>新增回归项；无真值素材时仅验证功能返回，不宣称精度。</x:v>
      </x:c>
      <x:c r="R323" s="31"/>
      <x:c r="S323" s="31"/>
      <x:c r="T323" s="9" t="n">
        <x:v>1</x:v>
      </x:c>
      <x:c r="U323" s="9" t="str">
        <x:v>DUT；FACE-ZIP</x:v>
      </x:c>
      <x:c r="V323" s="9" t="str">
        <x:v>codex-ui-and-evidence</x:v>
      </x:c>
      <x:c r="W323" s="9"/>
      <x:c r="X323" s="9"/>
      <x:c r="Y323" s="9"/>
      <x:c r="Z323" s="9"/>
      <x:c r="AA323" s="9"/>
      <x:c r="AB323" s="9"/>
      <x:c r="AC323" s="9"/>
    </x:row>
    <x:row r="324" ht="125" customHeight="1">
      <x:c r="A324" s="31" t="str">
        <x:v>UNIFORM-009</x:v>
      </x:c>
      <x:c r="B324" s="31" t="str">
        <x:v>J06</x:v>
      </x:c>
      <x:c r="C324" s="31" t="str">
        <x:v>工服底库</x:v>
      </x:c>
      <x:c r="D324" s="31" t="str">
        <x:v>P0</x:v>
      </x:c>
      <x:c r="E324" s="31" t="str">
        <x:v>工服入库与同图比对功能返回</x:v>
      </x:c>
      <x:c r="F324" s="31" t="str">
        <x:v>已登录；仅使用本轮隔离测试对象和授权素材；已记录原配置。</x:v>
      </x:c>
      <x:c r="G324" s="31" t="str">
        <x:v>按资源编号读取本轮私有配置</x:v>
      </x:c>
      <x:c r="H324" s="31" t="str">
        <x:v>1. 创建本轮工服分组并登记样本
2. 图片分析绑定该分组
3. 用同图分析并核对返回
4. 清空样本后复测并重新入库恢复</x:v>
      </x:c>
      <x:c r="I324" s="31" t="str">
        <x:v>有样本时返回有效比对结果；空库明确无法判断，不能误判未穿工服；重新入库可恢复。不要求标注负例，不宣称精度。</x:v>
      </x:c>
      <x:c r="J324" s="31" t="str">
        <x:v>清理本轮模型、场景、底库或任务；恢复原配置；保留脱敏证据。</x:v>
      </x:c>
      <x:c r="K324" s="31" t="str">
        <x:v>保存关键页面、回读结果和失败复现证据</x:v>
      </x:c>
      <x:c r="L324" s="31" t="str">
        <x:v>UI主操作＋API只读核对</x:v>
      </x:c>
      <x:c r="M324" s="31" t="str">
        <x:v>受影响模块回归</x:v>
      </x:c>
      <x:c r="N324" s="31" t="str">
        <x:v>目标设备具备该能力</x:v>
      </x:c>
      <x:c r="O324" s="31" t="str">
        <x:v>src/web/src/views/box/basePicManagement/workClothes；src/web/src/views/gam/imageAnalysis</x:v>
      </x:c>
      <x:c r="P324" s="31" t="str">
        <x:v>未执行</x:v>
      </x:c>
      <x:c r="Q324" s="32" t="str">
        <x:v>新增回归项；无真值素材时仅验证功能返回，不宣称精度。</x:v>
      </x:c>
      <x:c r="R324" s="31"/>
      <x:c r="S324" s="31"/>
      <x:c r="T324" s="9" t="n">
        <x:v>1</x:v>
      </x:c>
      <x:c r="U324" s="9" t="str">
        <x:v>DUT；UNIFORM-IMAGE</x:v>
      </x:c>
      <x:c r="V324" s="9" t="str">
        <x:v>codex-ui-and-evidence</x:v>
      </x:c>
      <x:c r="W324" s="9"/>
      <x:c r="X324" s="9"/>
      <x:c r="Y324" s="9"/>
      <x:c r="Z324" s="9"/>
      <x:c r="AA324" s="9"/>
      <x:c r="AB324" s="9"/>
      <x:c r="AC324" s="9"/>
    </x:row>
    <x:row r="325" ht="150" customHeight="1">
      <x:c r="A325" s="31" t="str">
        <x:v>AUDIO-007</x:v>
      </x:c>
      <x:c r="B325" s="31" t="str">
        <x:v>J09</x:v>
      </x:c>
      <x:c r="C325" s="31" t="str">
        <x:v>音频音柱与联动</x:v>
      </x:c>
      <x:c r="D325" s="31" t="str">
        <x:v>P1</x:v>
      </x:c>
      <x:c r="E325" s="31" t="str">
        <x:v>音频扩展名伪装与内容校验</x:v>
      </x:c>
      <x:c r="F325" s="31" t="str">
        <x:v>已登录；使用本轮隔离测试对象，已记录原配置。</x:v>
      </x:c>
      <x:c r="G325" s="31" t="str">
        <x:v>本轮私有资源配置</x:v>
      </x:c>
      <x:c r="H325" s="31" t="str">
        <x:v>1. 准备有效短WAV及同目录29字节文本伪装WAV
2. 通过界面分别上传并观察列表和错误提示
3. 若非法文件被接收，点击播放核对真实解码状态
4. 移除非法对象后再次上传有效WAV并播放</x:v>
      </x:c>
      <x:c r="I325" s="31" t="str">
        <x:v>不得仅凭WAV后缀接受非音频内容；失败明确且不可显示为可正常播放；后续有效文件仍能上传播放。</x:v>
      </x:c>
      <x:c r="J325" s="31" t="str">
        <x:v>删除本轮音频，保留默认音频和原对象。</x:v>
      </x:c>
      <x:c r="K325" s="31" t="str">
        <x:v>保存逐步页面、对象数量、实际返回和恢复证据。</x:v>
      </x:c>
      <x:c r="L325" s="31" t="str">
        <x:v>UI主操作＋API只读核对</x:v>
      </x:c>
      <x:c r="M325" s="31" t="str">
        <x:v>受影响模块回归</x:v>
      </x:c>
      <x:c r="N325" s="31" t="str">
        <x:v>目标设备具备该能力</x:v>
      </x:c>
      <x:c r="O325" s="31" t="str">
        <x:v>客户旅程实测缺陷回归；src/web/src/views/box/audioManagement；src/web/src/views/box/peripheralManagement；src/web/src/views/box/strategyManagement</x:v>
      </x:c>
      <x:c r="P325" s="31" t="str">
        <x:v>未执行</x:v>
      </x:c>
      <x:c r="Q325" s="32" t="str">
        <x:v>新增独立回归用例；旧用例历史证据不自动回填为本编号通过。</x:v>
      </x:c>
      <x:c r="R325" s="31"/>
      <x:c r="S325" s="31"/>
      <x:c r="T325" s="9" t="n">
        <x:v>1</x:v>
      </x:c>
      <x:c r="U325" s="9" t="str">
        <x:v>DUT</x:v>
      </x:c>
      <x:c r="V325" s="9" t="str">
        <x:v>codex-ui-and-evidence</x:v>
      </x:c>
      <x:c r="W325" s="9"/>
      <x:c r="X325" s="9"/>
      <x:c r="Y325" s="9"/>
      <x:c r="Z325" s="9"/>
      <x:c r="AA325" s="9"/>
      <x:c r="AB325" s="9"/>
      <x:c r="AC325" s="9"/>
    </x:row>
    <x:row r="326" ht="150" customHeight="1">
      <x:c r="A326" s="31" t="str">
        <x:v>AUDIO-008</x:v>
      </x:c>
      <x:c r="B326" s="31" t="str">
        <x:v>J09</x:v>
      </x:c>
      <x:c r="C326" s="31" t="str">
        <x:v>音频音柱与联动</x:v>
      </x:c>
      <x:c r="D326" s="31" t="str">
        <x:v>P1</x:v>
      </x:c>
      <x:c r="E326" s="31" t="str">
        <x:v>重复音频文件名提示与对象一致性</x:v>
      </x:c>
      <x:c r="F326" s="31" t="str">
        <x:v>已登录；使用本轮隔离测试对象，已记录原配置。</x:v>
      </x:c>
      <x:c r="G326" s="31" t="str">
        <x:v>本轮私有资源配置</x:v>
      </x:c>
      <x:c r="H326" s="31" t="str">
        <x:v>1. 上传唯一测试文件名的有效音频
2. 再次上传同名文件
3. 核对提示与列表数量、原文件播放及下载内容
4. 使用另一唯一名称再次上传</x:v>
      </x:c>
      <x:c r="I326" s="31" t="str">
        <x:v>重复名处理须明确说明重复、覆盖或拒绝规则，不能仅提示文件打开失败；不得损坏原对象；新名称正常。</x:v>
      </x:c>
      <x:c r="J326" s="31" t="str">
        <x:v>删除本轮音频，保留默认音频和原对象。</x:v>
      </x:c>
      <x:c r="K326" s="31" t="str">
        <x:v>保存逐步页面、对象数量、实际返回和恢复证据。</x:v>
      </x:c>
      <x:c r="L326" s="31" t="str">
        <x:v>UI主操作＋API只读核对</x:v>
      </x:c>
      <x:c r="M326" s="31" t="str">
        <x:v>受影响模块回归</x:v>
      </x:c>
      <x:c r="N326" s="31" t="str">
        <x:v>目标设备具备该能力</x:v>
      </x:c>
      <x:c r="O326" s="31" t="str">
        <x:v>客户旅程实测缺陷回归；src/web/src/views/box/audioManagement；src/web/src/views/box/peripheralManagement；src/web/src/views/box/strategyManagement</x:v>
      </x:c>
      <x:c r="P326" s="31" t="str">
        <x:v>未执行</x:v>
      </x:c>
      <x:c r="Q326" s="32" t="str">
        <x:v>新增独立回归用例；旧用例历史证据不自动回填为本编号通过。</x:v>
      </x:c>
      <x:c r="R326" s="31"/>
      <x:c r="S326" s="31"/>
      <x:c r="T326" s="9" t="n">
        <x:v>1</x:v>
      </x:c>
      <x:c r="U326" s="9" t="str">
        <x:v>DUT</x:v>
      </x:c>
      <x:c r="V326" s="9" t="str">
        <x:v>codex-ui-and-evidence</x:v>
      </x:c>
      <x:c r="W326" s="9"/>
      <x:c r="X326" s="9"/>
      <x:c r="Y326" s="9"/>
      <x:c r="Z326" s="9"/>
      <x:c r="AA326" s="9"/>
      <x:c r="AB326" s="9"/>
      <x:c r="AC326" s="9"/>
    </x:row>
    <x:row r="327" ht="150" customHeight="1">
      <x:c r="A327" s="31" t="str">
        <x:v>SCH-007</x:v>
      </x:c>
      <x:c r="B327" s="31" t="str">
        <x:v>J03</x:v>
      </x:c>
      <x:c r="C327" s="31" t="str">
        <x:v>时间计划</x:v>
      </x:c>
      <x:c r="D327" s="31" t="str">
        <x:v>P2</x:v>
      </x:c>
      <x:c r="E327" s="31" t="str">
        <x:v>内置模板同名保护和身份区分</x:v>
      </x:c>
      <x:c r="F327" s="31" t="str">
        <x:v>已登录；使用本轮隔离测试对象，已记录原配置。</x:v>
      </x:c>
      <x:c r="G327" s="31" t="str">
        <x:v>本轮私有资源配置</x:v>
      </x:c>
      <x:c r="H327" s="31" t="str">
        <x:v>1. 记录内置全天候、工作日、周末工作模板
2. 尝试新增与内置模板同名的隔离模板
3. 检查新增结果、编辑禁用状态及任务选择中的区分方式
4. 若允许同名，仅删除本轮新对象并复核原模板</x:v>
      </x:c>
      <x:c r="I327" s="31" t="str">
        <x:v>拒绝产生无法区分的重复模板，或按稳定ID清楚区分；新建普通模板不得因名称匹配被错误锁定为内置模板；清理不误删原对象。</x:v>
      </x:c>
      <x:c r="J327" s="31" t="str">
        <x:v>删除本轮新增模板；保留原模板及引用。</x:v>
      </x:c>
      <x:c r="K327" s="31" t="str">
        <x:v>保存逐步页面、对象数量、实际返回和恢复证据。</x:v>
      </x:c>
      <x:c r="L327" s="31" t="str">
        <x:v>UI主操作＋API只读核对</x:v>
      </x:c>
      <x:c r="M327" s="31" t="str">
        <x:v>受影响模块回归</x:v>
      </x:c>
      <x:c r="N327" s="31" t="str">
        <x:v>目标设备具备该能力</x:v>
      </x:c>
      <x:c r="O327" s="31" t="str">
        <x:v>客户旅程实测缺陷回归；src/web/src/views/box/videoAccess/timeTemplate/index.vue；src/web/src/api/box.js</x:v>
      </x:c>
      <x:c r="P327" s="31" t="str">
        <x:v>未执行</x:v>
      </x:c>
      <x:c r="Q327" s="32" t="str">
        <x:v>新增独立回归用例；旧用例历史证据不自动回填为本编号通过。</x:v>
      </x:c>
      <x:c r="R327" s="31"/>
      <x:c r="S327" s="31"/>
      <x:c r="T327" s="9" t="n">
        <x:v>1</x:v>
      </x:c>
      <x:c r="U327" s="9" t="str">
        <x:v>DUT</x:v>
      </x:c>
      <x:c r="V327" s="9" t="str">
        <x:v>codex-ui-and-evidence</x:v>
      </x:c>
      <x:c r="W327" s="9"/>
      <x:c r="X327" s="9"/>
      <x:c r="Y327" s="9"/>
      <x:c r="Z327" s="9"/>
      <x:c r="AA327" s="9"/>
      <x:c r="AB327" s="9"/>
      <x:c r="AC327" s="9"/>
    </x:row>
    <x:row r="328" ht="150" customHeight="1">
      <x:c r="A328" s="31" t="str">
        <x:v>REG-009</x:v>
      </x:c>
      <x:c r="B328" s="31" t="str">
        <x:v>J02</x:v>
      </x:c>
      <x:c r="C328" s="31" t="str">
        <x:v>视频源基础接入</x:v>
      </x:c>
      <x:c r="D328" s="31" t="str">
        <x:v>P1</x:v>
      </x:c>
      <x:c r="E328" s="31" t="str">
        <x:v>抓拍失败不得冒充新源成功画面</x:v>
      </x:c>
      <x:c r="F328" s="31" t="str">
        <x:v>已登录；使用本轮隔离测试对象，已记录原配置。</x:v>
      </x:c>
      <x:c r="G328" s="31" t="str">
        <x:v>本轮私有资源配置</x:v>
      </x:c>
      <x:c r="H328" s="31" t="str">
        <x:v>1. 新建通道接入来源A并成功抓拍
2. 将同一通道切到来源B且填写经对照验证会认证失败的凭据
3. 点击快照并核对请求、页面失败状态及图片来源和时间
4. 更正来源B凭据再次抓拍并核对来源B新画面</x:v>
      </x:c>
      <x:c r="I328" s="31" t="str">
        <x:v>认证失败必须明确呈现；不得将来源A缓存画面无标识显示为来源B当前抓拍；如提供历史图必须标明缓存和原时间；更正后返回新源画面。</x:v>
      </x:c>
      <x:c r="J328" s="31" t="str">
        <x:v>删除本轮通道；不改变摄像机账号；保留其他通道。</x:v>
      </x:c>
      <x:c r="K328" s="31" t="str">
        <x:v>保存逐步页面、对象数量、实际返回和恢复证据。</x:v>
      </x:c>
      <x:c r="L328" s="31" t="str">
        <x:v>UI主操作＋API只读核对</x:v>
      </x:c>
      <x:c r="M328" s="31" t="str">
        <x:v>受影响模块回归</x:v>
      </x:c>
      <x:c r="N328" s="31" t="str">
        <x:v>目标设备具备该能力</x:v>
      </x:c>
      <x:c r="O328" s="31" t="str">
        <x:v>客户旅程实测缺陷回归；src/web/src/views/gam/taskManager/index.vue；src/web/src/api/gam.js；docs/guide/test-cases.md</x:v>
      </x:c>
      <x:c r="P328" s="31" t="str">
        <x:v>未执行</x:v>
      </x:c>
      <x:c r="Q328" s="32" t="str">
        <x:v>新增独立回归用例；旧用例历史证据不自动回填为本编号通过。</x:v>
      </x:c>
      <x:c r="R328" s="31"/>
      <x:c r="S328" s="31"/>
      <x:c r="T328" s="9" t="n">
        <x:v>1</x:v>
      </x:c>
      <x:c r="U328" s="9" t="str">
        <x:v>DUT；CAM-HK-A；CAM-DH</x:v>
      </x:c>
      <x:c r="V328" s="9" t="str">
        <x:v>codex-ui-and-evidence</x:v>
      </x:c>
      <x:c r="W328" s="9"/>
      <x:c r="X328" s="9"/>
      <x:c r="Y328" s="9"/>
      <x:c r="Z328" s="9"/>
      <x:c r="AA328" s="9"/>
      <x:c r="AB328" s="9"/>
      <x:c r="AC328" s="9"/>
    </x:row>
    <x:row r="329" ht="150" customHeight="1">
      <x:c r="A329" s="31" t="str">
        <x:v>MODEL-014</x:v>
      </x:c>
      <x:c r="B329" s="31" t="str">
        <x:v>J03</x:v>
      </x:c>
      <x:c r="C329" s="31" t="str">
        <x:v>模型仓库与授权</x:v>
      </x:c>
      <x:c r="D329" s="31" t="str">
        <x:v>P0</x:v>
      </x:c>
      <x:c r="E329" s="31" t="str">
        <x:v>模型分类筛选前后版本显示一致</x:v>
      </x:c>
      <x:c r="F329" s="31" t="str">
        <x:v>已登录；使用本轮隔离测试对象，已记录原配置。</x:v>
      </x:c>
      <x:c r="G329" s="31" t="str">
        <x:v>本轮私有资源配置</x:v>
      </x:c>
      <x:c r="H329" s="31" t="str">
        <x:v>1. 在全部模型列表记录有版本的模型
2. 选择该模型所属分类
3. 核对同一模型版本字段
4. 清空分类并刷新再次对照</x:v>
      </x:c>
      <x:c r="I329" s="31" t="str">
        <x:v>分类仅筛选列表，不丢失同一模型已存在的版本值；全部与分类视图一致。</x:v>
      </x:c>
      <x:c r="J329" s="31" t="str">
        <x:v>清空筛选，不修改模型。</x:v>
      </x:c>
      <x:c r="K329" s="31" t="str">
        <x:v>保存逐步页面、对象数量、实际返回和恢复证据。</x:v>
      </x:c>
      <x:c r="L329" s="31" t="str">
        <x:v>UI主操作＋API只读核对</x:v>
      </x:c>
      <x:c r="M329" s="31" t="str">
        <x:v>受影响模块回归</x:v>
      </x:c>
      <x:c r="N329" s="31" t="str">
        <x:v>目标设备具备该能力</x:v>
      </x:c>
      <x:c r="O329" s="31" t="str">
        <x:v>客户旅程实测缺陷回归；src/web/src/views/gam/countManagement/atomicModel/index.vue；docs/guide/test-cases.md；docs/reference/api.md</x:v>
      </x:c>
      <x:c r="P329" s="31" t="str">
        <x:v>未执行</x:v>
      </x:c>
      <x:c r="Q329" s="32" t="str">
        <x:v>新增独立回归用例；旧用例历史证据不自动回填为本编号通过。</x:v>
      </x:c>
      <x:c r="R329" s="31"/>
      <x:c r="S329" s="31"/>
      <x:c r="T329" s="9" t="n">
        <x:v>1</x:v>
      </x:c>
      <x:c r="U329" s="9" t="str">
        <x:v>DUT；MODEL-INVENTORY</x:v>
      </x:c>
      <x:c r="V329" s="9" t="str">
        <x:v>codex-ui-and-evidence</x:v>
      </x:c>
      <x:c r="W329" s="9"/>
      <x:c r="X329" s="9"/>
      <x:c r="Y329" s="9"/>
      <x:c r="Z329" s="9"/>
      <x:c r="AA329" s="9"/>
      <x:c r="AB329" s="9"/>
      <x:c r="AC329" s="9"/>
    </x:row>
    <x:row r="330" ht="126" customHeight="1">
      <x:c r="A330" s="34" t="str">
        <x:v>REG-010</x:v>
      </x:c>
      <x:c r="B330" s="34" t="str">
        <x:v>J12</x:v>
      </x:c>
      <x:c r="C330" s="34" t="str">
        <x:v>持续回归与交付</x:v>
      </x:c>
      <x:c r="D330" s="34" t="str">
        <x:v>P1</x:v>
      </x:c>
      <x:c r="E330" s="34" t="str">
        <x:v>事件筛选重置后条件与结果同步</x:v>
      </x:c>
      <x:c r="F330" s="34" t="str">
        <x:v>已登录；使用本轮隔离事件或可确认的历史事件；已记录原筛选条件。</x:v>
      </x:c>
      <x:c r="G330" s="34" t="str">
        <x:v>按资源编号读取本轮私有配置</x:v>
      </x:c>
      <x:c r="H330" s="34" t="str">
        <x:v>1. 在事件页面选择一个有已知事件的历史时段并查询，记录条件、总数和首条事件
2. 点击重置，立即记录页面筛选条件、总数和首条事件
3. 不再点击查询，刷新页面并再次核对条件与结果
4. 对照只读查询确认结果与当前可见条件一致</x:v>
      </x:c>
      <x:c r="I330" s="34" t="str">
        <x:v>重置后结果与可见筛选条件同步，不得保留旧条件的事件却显示已重置条件；刷新前后口径一致。</x:v>
      </x:c>
      <x:c r="J330" s="34" t="str">
        <x:v>恢复原筛选条件和浏览器窗口；不删除真实事件。</x:v>
      </x:c>
      <x:c r="K330" s="34" t="str">
        <x:v>保存筛选前后页面、条件、总数、路由及失败复现证据。</x:v>
      </x:c>
      <x:c r="L330" s="34" t="str">
        <x:v>UI主操作＋API只读核对</x:v>
      </x:c>
      <x:c r="M330" s="34" t="str">
        <x:v>受影响模块回归</x:v>
      </x:c>
      <x:c r="N330" s="34" t="str">
        <x:v>目标设备具备事件页面</x:v>
      </x:c>
      <x:c r="O330" s="34" t="str">
        <x:v>客户旅程实测缺陷回归；src/web/src/views/box/alarmRecord</x:v>
      </x:c>
      <x:c r="P330" s="34" t="str">
        <x:v>未执行</x:v>
      </x:c>
      <x:c r="Q330" s="34" t="str">
        <x:v>新增独立回归用例；本轮历史证据不自动回填为新编号通过。</x:v>
      </x:c>
      <x:c r="R330" s="34"/>
      <x:c r="S330" s="34"/>
      <x:c r="T330" s="34" t="n">
        <x:v>1</x:v>
      </x:c>
      <x:c r="U330" s="34" t="str">
        <x:v>DUT</x:v>
      </x:c>
      <x:c r="V330" s="34" t="str">
        <x:v>codex-ui-and-evidence</x:v>
      </x:c>
      <x:c r="W330" s="34"/>
      <x:c r="X330" s="34"/>
      <x:c r="Y330" s="34"/>
      <x:c r="Z330" s="34"/>
      <x:c r="AA330" s="34"/>
      <x:c r="AB330" s="34"/>
      <x:c r="AC330" s="34"/>
    </x:row>
    <x:row r="331" ht="126" customHeight="1">
      <x:c r="A331" s="34" t="str">
        <x:v>REG-011</x:v>
      </x:c>
      <x:c r="B331" s="34" t="str">
        <x:v>J12</x:v>
      </x:c>
      <x:c r="C331" s="34" t="str">
        <x:v>持续回归与交付</x:v>
      </x:c>
      <x:c r="D331" s="34" t="str">
        <x:v>P1</x:v>
      </x:c>
      <x:c r="E331" s="34" t="str">
        <x:v>窄视口侧栏不得遮挡事件筛选控件</x:v>
      </x:c>
      <x:c r="F331" s="34" t="str">
        <x:v>已登录；使用本轮隔离事件或可确认的历史事件；已记录原筛选条件。</x:v>
      </x:c>
      <x:c r="G331" s="34" t="str">
        <x:v>按资源编号读取本轮私有配置</x:v>
      </x:c>
      <x:c r="H331" s="34" t="str">
        <x:v>1. 将浏览器视口设为约760×900并进入事件页面，展开左侧导航
2. 依次点击开始日期、通道和场景筛选，记录响应及当前路由
3. 收起左侧导航，重复点击并检查最左侧字段标签可见性
4. 恢复浏览器窗口并核对事件页面可继续操作</x:v>
      </x:c>
      <x:c r="I331" s="34" t="str">
        <x:v>展开或收起导航时筛选控件和标签可见、可点击；点击筛选控件不得触发被遮挡的侧栏导航或跳转页面。</x:v>
      </x:c>
      <x:c r="J331" s="34" t="str">
        <x:v>恢复原筛选条件和浏览器窗口；不删除真实事件。</x:v>
      </x:c>
      <x:c r="K331" s="34" t="str">
        <x:v>保存筛选前后页面、条件、总数、路由及失败复现证据。</x:v>
      </x:c>
      <x:c r="L331" s="34" t="str">
        <x:v>UI主操作＋API只读核对</x:v>
      </x:c>
      <x:c r="M331" s="34" t="str">
        <x:v>受影响模块回归</x:v>
      </x:c>
      <x:c r="N331" s="34" t="str">
        <x:v>目标设备具备事件页面</x:v>
      </x:c>
      <x:c r="O331" s="34" t="str">
        <x:v>客户旅程实测缺陷回归；src/web/src/views/box/alarmRecord；窄视口布局</x:v>
      </x:c>
      <x:c r="P331" s="34" t="str">
        <x:v>未执行</x:v>
      </x:c>
      <x:c r="Q331" s="34" t="str">
        <x:v>新增独立回归用例；本轮历史证据不自动回填为新编号通过。</x:v>
      </x:c>
      <x:c r="R331" s="34"/>
      <x:c r="S331" s="34"/>
      <x:c r="T331" s="34" t="n">
        <x:v>1</x:v>
      </x:c>
      <x:c r="U331" s="34" t="str">
        <x:v>DUT</x:v>
      </x:c>
      <x:c r="V331" s="34" t="str">
        <x:v>codex-ui-and-evidence</x:v>
      </x:c>
      <x:c r="W331" s="34"/>
      <x:c r="X331" s="34"/>
      <x:c r="Y331" s="34"/>
      <x:c r="Z331" s="34"/>
      <x:c r="AA331" s="34"/>
      <x:c r="AB331" s="34"/>
      <x:c r="AC331" s="34"/>
    </x:row>
    <x:row r="332" ht="210" customHeight="1">
      <x:c r="A332" s="34" t="str">
        <x:v>PERF-011</x:v>
      </x:c>
      <x:c r="B332" s="34" t="str">
        <x:v>J12</x:v>
      </x:c>
      <x:c r="C332" s="34" t="str">
        <x:v>容量稳定性与异常恢复</x:v>
      </x:c>
      <x:c r="D332" s="34" t="str">
        <x:v>P1</x:v>
      </x:c>
      <x:c r="E332" s="34" t="str">
        <x:v>受保护 VLM 加载的主机内存接纳与恢复</x:v>
      </x:c>
      <x:c r="F332" s="34" t="str">
        <x:v>专用 Sophon 测试设备、兼容的受保护本地 VLM、已知正负图片和可用视频源；有读取内核/进程及有界故障注入授权；记录原任务，不停止原任务腾出资源。</x:v>
      </x:c>
      <x:c r="G332" s="34" t="str">
        <x:v>设备、模型、样本与故障注入范围由本轮私有配置绑定。</x:v>
      </x:c>
      <x:c r="H332" s="34" t="str">
        <x:v>1. 记录主进程 PID、内核 OOM 计数、MemAvailable、模型大小和原任务输出；确认无同模型共享实例
2. 在安全下限内启动有内存上限、自动退出的临时占用进程，使可用内存不足以加载该模型；无法安全形成条件时记录具体阻塞
3. 通过页面创建临时 VLM 视频任务，核对初始化失败、日志和原任务持续输出；禁止以启用开关代替推理成功
4. 释放本轮占用，确认内存达到加载条件后重试；完成正负图片问答及视频实际推理，不重启主进程掩盖恢复失败
5. 停止并删除本轮任务，核对原配置、原任务、临时进程和新增 OOM 记录</x:v>
      </x:c>
      <x:c r="I332" s="34" t="str">
        <x:v>内存不足时拒绝加载且无主进程 SIGKILL/重启，原任务继续工作；满足加载条件后实际推理成功；任务运行状态不得把初始化失败显示为正常推理。</x:v>
      </x:c>
      <x:c r="J332" s="34" t="str">
        <x:v>结束本轮内存占用并验证退出；清理本轮图片/视频任务，恢复原配置；不得删除真实事件或关闭原任务。</x:v>
      </x:c>
      <x:c r="K332" s="34" t="str">
        <x:v>首次失败与重试分别保留；记录内存、模型大小、进程 PID、内核 OOM、初始化日志、UI 状态、实际正负结果及恢复核对。</x:v>
      </x:c>
      <x:c r="L332" s="34" t="str">
        <x:v>UI主操作＋有界压力脚本＋内核与接口交叉验证</x:v>
      </x:c>
      <x:c r="M332" s="34" t="str">
        <x:v>受影响模块回归</x:v>
      </x:c>
      <x:c r="N332" s="34" t="str">
        <x:v>Sophon 受保护本地 VLM；不以 x86 或小模型通过代替该设备大模型验收。</x:v>
      </x:c>
      <x:c r="O332" s="34" t="str">
        <x:v>src/nn/guard/CemV2SophonLoader.cc；src/nn/device/sophon/qwen3vl/qwen3vl_runner.cc；实测 OOM 缺陷回归</x:v>
      </x:c>
      <x:c r="P332" s="34" t="str">
        <x:v>未执行</x:v>
      </x:c>
      <x:c r="Q332" s="32" t="str">
        <x:v>新增回归编号；历史实测不自动转为此新用例通过。</x:v>
      </x:c>
      <x:c r="R332" s="34" t="str"/>
      <x:c r="S332" s="34" t="str"/>
      <x:c r="T332" s="4" t="n">
        <x:v>1</x:v>
      </x:c>
      <x:c r="U332" s="4" t="str">
        <x:v>DUT；MODEL-PACKAGES；SCENARIO-TRUTH；RECOVERY-KIT</x:v>
      </x:c>
      <x:c r="V332" s="4" t="str">
        <x:v>codex-ui-and-evidence</x:v>
      </x:c>
      <x:c r="W332" s="4" t="str"/>
      <x:c r="X332" s="4" t="str"/>
      <x:c r="Y332" s="4" t="str"/>
      <x:c r="Z332" s="4" t="str"/>
      <x:c r="AA332" s="4" t="str"/>
      <x:c r="AB332" s="4" t="str"/>
      <x:c r="AC332" s="4" t="str"/>
    </x:row>
    <x:row r="333" ht="285" customHeight="1">
      <x:c r="A333" s="34" t="str">
        <x:v>EVENT-012</x:v>
      </x:c>
      <x:c r="B333" s="34" t="str">
        <x:v>J08</x:v>
      </x:c>
      <x:c r="C333" s="34" t="str">
        <x:v>事件中心与统计</x:v>
      </x:c>
      <x:c r="D333" s="34" t="str">
        <x:v>P1</x:v>
      </x:c>
      <x:c r="E333" s="34" t="str">
        <x:v>事件上报大模型审核：本地模型放行与过滤</x:v>
      </x:c>
      <x:c r="F333" s="34" t="str">
        <x:v>使用私有 FACE-VIDEO 绑定的视频。逐帧确认匹配与不匹配的人物目标，记录时间段、帧号/时间戳、目标框及人工判断。提示词如“穿红色衣服的人”；没有红衣正例时改用画面实际可辨认的衣着特征，不虚构正例。 复制基础行人检测/区域入侵场景到本轮隔离对象，上游使用普通检测节点，事件上报使用 BA_00004 的触发类事件；不得用独立 VLM 节点提前完成审核。固定ROI、告警间隔、去重、播放次数和时间窗。 本地VLM可选且可加载，HTTP测试接收端已就绪。</x:v>
      </x:c>
      <x:c r="G333" s="34" t="str">
        <x:v>视频、审核模型与接口认证按资源ID绑定本轮私有配置。</x:v>
      </x:c>
      <x:c r="H333" s="34" t="str">
        <x:v>1. 核对视频哈希和人工标注；至少选择一个提示词匹配目标ROI和一个不匹配目标ROI。同帧多人时分别标记，避免用画面中其他人的特征判当前目标。
2. 关闭事件上报组件的大模型审核，重播固定片段，确认正负目标都实际到达上报节点并产生基线事件；保存目标ID、时间、抓拍和接收记录。
3. 在事件上报组件开启审核，选择本地审核模型并填写已标注的衣着提示词，保存后刷新回读开关、模式、模型和提示词。
4. 从相同起点重播正例片段，核对当前目标裁剪图的审核结果为“是”，相应事件落库并由HTTP接收；事件/目标/帧归属一致。
5. 重播负例片段，核对同一候选目标确实触发审核且回答“否”，有审核过滤证据，普通告警列表与HTTP接收均无该候选事件；排除去重、时间计划和无检测导致的假过滤。
6. 关闭审核再重播负例，确认事件恢复上报；核对原业务并清理本轮对象。</x:v>
      </x:c>
      <x:c r="I333" s="34" t="str">
        <x:v>开关和本地模型保存回读一致；同一目标“是”放行、“否”过滤，关闭审核恢复基线上报。多人与多帧不得串用结果；每种结果均有候选输入、审核结果和事件/HTTP证据。</x:v>
      </x:c>
      <x:c r="J333" s="34" t="str">
        <x:v>停止并删除本轮视频任务、临时通道与复制场景；恢复原推送、审核参数和视频播放配置。保留原有业务及历史事件，不修改共享模型服务。</x:v>
      </x:c>
      <x:c r="K333" s="34" t="str">
        <x:v>视频哈希、标注片段与目标ROI、场景/任务/组件ID、审核模式、提示词与模型版本、审核调用及是/否结果、过滤记录、事件ID/抓拍/HTTP接收对账、修改前后配置与清理核对；认证信息脱敏。</x:v>
      </x:c>
      <x:c r="L333" s="34" t="str">
        <x:v>UI主操作＋日志/接口只读交叉验证</x:v>
      </x:c>
      <x:c r="M333" s="34" t="str">
        <x:v>受影响模块回归</x:v>
      </x:c>
      <x:c r="N333" s="34" t="str">
        <x:v>本地Qwen类审核；仅触发类候选事件。使用实际目标裁剪图人工判断，不宣称整体识别精度。</x:v>
      </x:c>
      <x:c r="O333" s="34" t="str">
        <x:v>src/flow/alarm/TaskAlarmLlmReview.cc；src/flow/alarm/TaskAlarmEventBuilder.cc；data/resource/aiboxresource_bm1688/layout/actions.json</x:v>
      </x:c>
      <x:c r="P333" s="34" t="str">
        <x:v>未执行</x:v>
      </x:c>
      <x:c r="Q333" s="32" t="str">
        <x:v>按逐目标可见事实核对功能；不以一次问答或总告警数减少替代审核链路验收。</x:v>
      </x:c>
      <x:c r="R333" s="34"/>
      <x:c r="S333" s="34"/>
      <x:c r="T333" s="4" t="n">
        <x:v>1</x:v>
      </x:c>
      <x:c r="U333" s="4" t="str">
        <x:v>DUT；FACE-VIDEO；MODEL-INVENTORY；VLM-MODEL；HTTP-RECEIVER；PUSH-AUTHORIZATION</x:v>
      </x:c>
      <x:c r="V333" s="4" t="str">
        <x:v>codex-ui-and-evidence</x:v>
      </x:c>
      <x:c r="W333" s="4"/>
      <x:c r="X333" s="4"/>
      <x:c r="Y333" s="4"/>
      <x:c r="Z333" s="4"/>
      <x:c r="AA333" s="4"/>
      <x:c r="AB333" s="4"/>
      <x:c r="AC333" s="4"/>
    </x:row>
    <x:row r="334" ht="285" customHeight="1">
      <x:c r="A334" s="34" t="str">
        <x:v>EVENT-013</x:v>
      </x:c>
      <x:c r="B334" s="34" t="str">
        <x:v>J08</x:v>
      </x:c>
      <x:c r="C334" s="34" t="str">
        <x:v>事件中心与统计</x:v>
      </x:c>
      <x:c r="D334" s="34" t="str">
        <x:v>P1</x:v>
      </x:c>
      <x:c r="E334" s="34" t="str">
        <x:v>事件上报大模型审核：OpenAI接口放行与过滤</x:v>
      </x:c>
      <x:c r="F334" s="34" t="str">
        <x:v>使用私有 FACE-VIDEO 绑定的视频。逐帧确认匹配与不匹配的人物目标，记录时间段、帧号/时间戳、目标框及人工判断。提示词如“穿红色衣服的人”；没有红衣正例时改用画面实际可辨认的衣着特征，不虚构正例。 复制基础行人检测/区域入侵场景到本轮隔离对象，上游使用普通检测节点，事件上报使用 BA_00004 的触发类事件；不得用独立 VLM 节点提前完成审核。固定ROI、告警间隔、去重、播放次数和时间窗。 OPENAI-VLM已由用户配置，测试按服务并发限制串行执行。</x:v>
      </x:c>
      <x:c r="G334" s="34" t="str">
        <x:v>视频、审核模型与接口认证按资源ID绑定本轮私有配置。</x:v>
      </x:c>
      <x:c r="H334" s="34" t="str">
        <x:v>1. 按私有配置核对OpenAI兼容服务的基地址、模型名、认证和chat/completions图像输入；模型使用实际served-model-name，保存脱敏响应证据。
2. 关闭审核并重播固定正负片段，确认每个候选目标的基线上报，记录候选ID、片段、ROI及接收端时间窗。
3. 在事件上报组件启用审核，选择OpenAI兼容接口，填写基地址、模型名、认证及人物特征提示词；保存刷新，认证回显和证据不得泄露密钥。
4. 串行重播正例，核对设备向配置接口发送当前候选目标图，服务返回“是”，对应事件落库并成功HTTP上报。
5. 串行重播负例，核对接口确实被调用且返回“否”，设备按审核过滤，事件中心及HTTP均无该候选普通告警；不能用请求失败冒充审核否定。
6. 停启本轮任务后核对接口模式、模型与提示词仍有效，再关闭审核复测基线上报，最后清理本轮配置。</x:v>
      </x:c>
      <x:c r="I334" s="34" t="str">
        <x:v>接口模式使用配置的服务与模型，真实图像请求有对应响应；“是”放行、“否”过滤，目标/帧/事件关联正确；配置停启后保持，关闭审核后恢复基线；认证仅以脱敏证据保存。</x:v>
      </x:c>
      <x:c r="J334" s="34" t="str">
        <x:v>停止并删除本轮视频任务、临时通道与复制场景；恢复原推送、审核参数和视频播放配置。保留原有业务及历史事件，不修改共享模型服务。</x:v>
      </x:c>
      <x:c r="K334" s="34" t="str">
        <x:v>视频哈希、标注片段与目标ROI、场景/任务/组件ID、审核模式、提示词与模型版本、审核调用及是/否结果、过滤记录、事件ID/抓拍/HTTP接收对账、修改前后配置与清理核对；认证信息脱敏。</x:v>
      </x:c>
      <x:c r="L334" s="34" t="str">
        <x:v>UI主操作＋日志/接口只读交叉验证</x:v>
      </x:c>
      <x:c r="M334" s="34" t="str">
        <x:v>受影响模块回归</x:v>
      </x:c>
      <x:c r="N334" s="34" t="str">
        <x:v>OpenAI兼容多模态接口审核；不要求设备本地VLM可加载，不替代本地模式验收。不得重启或修改共享vLLM服务。</x:v>
      </x:c>
      <x:c r="O334" s="34" t="str">
        <x:v>src/flow/alarm/TaskAlarmLlmReview.cc；src/flow/alarm/TaskAlarmEventBuilder.cc；data/resource/aiboxresource_bm1688/layout/actions.json</x:v>
      </x:c>
      <x:c r="P334" s="34" t="str">
        <x:v>未执行</x:v>
      </x:c>
      <x:c r="Q334" s="32" t="str">
        <x:v>按逐目标可见事实核对功能；不以一次问答或总告警数减少替代审核链路验收。</x:v>
      </x:c>
      <x:c r="R334" s="34"/>
      <x:c r="S334" s="34"/>
      <x:c r="T334" s="4" t="n">
        <x:v>1</x:v>
      </x:c>
      <x:c r="U334" s="4" t="str">
        <x:v>DUT；FACE-VIDEO；MODEL-INVENTORY；OPENAI-VLM；HTTP-RECEIVER；PUSH-AUTHORIZATION</x:v>
      </x:c>
      <x:c r="V334" s="4" t="str">
        <x:v>codex-ui-and-evidence</x:v>
      </x:c>
      <x:c r="W334" s="4"/>
      <x:c r="X334" s="4"/>
      <x:c r="Y334" s="4"/>
      <x:c r="Z334" s="4"/>
      <x:c r="AA334" s="4"/>
      <x:c r="AB334" s="4"/>
      <x:c r="AC334" s="4"/>
    </x:row>
    <x:row r="335" ht="285" customHeight="1">
      <x:c r="A335" s="34" t="str">
        <x:v>EVENT-014</x:v>
      </x:c>
      <x:c r="B335" s="34" t="str">
        <x:v>J08</x:v>
      </x:c>
      <x:c r="C335" s="34" t="str">
        <x:v>事件中心与统计</x:v>
      </x:c>
      <x:c r="D335" s="34" t="str">
        <x:v>P1</x:v>
      </x:c>
      <x:c r="E335" s="34" t="str">
        <x:v>事件上报审核：提示词生效、事件类型与接口异常恢复</x:v>
      </x:c>
      <x:c r="F335" s="34" t="str">
        <x:v>使用私有 FACE-VIDEO 绑定的视频。逐帧确认匹配与不匹配的人物目标，记录时间段、帧号/时间戳、目标框及人工判断。提示词如“穿红色衣服的人”；没有红衣正例时改用画面实际可辨认的衣着特征，不虚构正例。 复制基础行人检测/区域入侵场景到本轮隔离对象，上游使用普通检测节点，事件上报使用 BA_00004 的触发类事件；不得用独立 VLM 节点提前完成审核。固定ROI、告警间隔、去重、播放次数和时间窗。 已完成接口模式基础闭环，准备本轮可恢复参数变更。</x:v>
      </x:c>
      <x:c r="G335" s="34" t="str">
        <x:v>视频、审核模型与接口认证按资源ID绑定本轮私有配置。</x:v>
      </x:c>
      <x:c r="H335" s="34" t="str">
        <x:v>1. 冻结同一目标ROI，先使用匹配的衣着提示词，再改成该目标明显不具备的特征；逐次保存刷新、重播，核对实际请求使用新词且判断随语义变化。
2. 在隔离场景分别验证触发类与定时类上报：保持审核开启，核对触发类走审核，定时类按原规则上报且不被该触发审核误过滤。
3. 仅在本轮任务中暂填无效API Key，触发图像审核并记录401/认证失败；再暂改为确认未监听的本机回环端口以形成连接失败或配置超时，不停止共享服务。
4. 按当前普通OpenAI审核分支核对故障降级：初始化/请求失败记录明确错误并允许原告警，不能标记为模型“是/否”；已有其他任务继续工作。
5. 恢复正确认证、地址及提示词，保存回读并重播同一正负片段，确认真实审核调用和放行/过滤恢复，无需重启设备。
6. 恢复原参数和事件类型，清理临时场景及任务，保留故障、降级、恢复三段证据。</x:v>
      </x:c>
      <x:c r="I335" s="34" t="str">
        <x:v>提示词修改后实际使用新配置；仅触发类受审核控制。接口故障与模型否定分开记录，按当前普通OpenAI路径降级放行并有错误证据；恢复配置后重新审核成功。若产品降级策略变更，先按评审后的契约更新本预期。</x:v>
      </x:c>
      <x:c r="J335" s="34" t="str">
        <x:v>停止并删除本轮视频任务、临时通道与复制场景；恢复原推送、审核参数和视频播放配置。保留原有业务及历史事件，不修改共享模型服务。</x:v>
      </x:c>
      <x:c r="K335" s="34" t="str">
        <x:v>视频哈希、标注片段与目标ROI、场景/任务/组件ID、审核模式、提示词与模型版本、审核调用及是/否结果、过滤记录、事件ID/抓拍/HTTP接收对账、修改前后配置与清理核对；认证信息脱敏。</x:v>
      </x:c>
      <x:c r="L335" s="34" t="str">
        <x:v>UI主操作＋日志/接口只读交叉验证</x:v>
      </x:c>
      <x:c r="M335" s="34" t="str">
        <x:v>受影响模块回归</x:v>
      </x:c>
      <x:c r="N335" s="34" t="str">
        <x:v>普通local_model/openai_vlm链路，不覆盖laya_v独立审核策略。网络故障仅改本轮任务配置，不更改服务或系统网络。</x:v>
      </x:c>
      <x:c r="O335" s="34" t="str">
        <x:v>src/flow/alarm/TaskAlarmLlmReview.cc；src/flow/alarm/TaskAlarmEventBuilder.cc；data/resource/aiboxresource_bm1688/layout/actions.json</x:v>
      </x:c>
      <x:c r="P335" s="34" t="str">
        <x:v>未执行</x:v>
      </x:c>
      <x:c r="Q335" s="32" t="str">
        <x:v>按逐目标可见事实核对功能；不以一次问答或总告警数减少替代审核链路验收。</x:v>
      </x:c>
      <x:c r="R335" s="34"/>
      <x:c r="S335" s="34"/>
      <x:c r="T335" s="4" t="n">
        <x:v>1</x:v>
      </x:c>
      <x:c r="U335" s="4" t="str">
        <x:v>DUT；FACE-VIDEO；MODEL-INVENTORY；OPENAI-VLM；HTTP-RECEIVER；PUSH-AUTHORIZATION</x:v>
      </x:c>
      <x:c r="V335" s="4" t="str">
        <x:v>codex-ui-and-evidence</x:v>
      </x:c>
      <x:c r="W335" s="4"/>
      <x:c r="X335" s="4"/>
      <x:c r="Y335" s="4"/>
      <x:c r="Z335" s="4"/>
      <x:c r="AA335" s="4"/>
      <x:c r="AB335" s="4"/>
      <x:c r="AC335" s="4"/>
    </x:row>
    <x:row r="336" ht="180" customHeight="1">
      <x:c r="A336" s="9" t="str">
        <x:v>ALG-38874</x:v>
      </x:c>
      <x:c r="B336" s="9" t="str">
        <x:v>J04/J07</x:v>
      </x:c>
      <x:c r="C336" s="9" t="str">
        <x:v>逐算法业务验收</x:v>
      </x:c>
      <x:c r="D336" s="9" t="str">
        <x:v>P1</x:v>
      </x:c>
      <x:c r="E336" s="9" t="str">
        <x:v>旋转框检测（OBB）模板与阈值生效</x:v>
      </x:c>
      <x:c r="F336" s="9" t="str">
        <x:v>目标为bm1688/cv186x/x86且已安装匹配OBB模型；样本类别须与模型一致，包含可稳定检出且分值介于0和1的目标。缺模型或样本只阻塞本例，不以空结果判通过。</x:v>
      </x:c>
      <x:c r="G336" s="9" t="str">
        <x:v>MODEL-INVENTORY核对模型类别；IMAGE-MEDIA与SCENARIO-TRUTH提供旋转目标正负/困难样本。素材路径仅在私有配置登记。</x:v>
      </x:c>
      <x:c r="H336" s="9" t="str">
        <x:v>1. 核对目标芯片、OBB模型及类别；准备类别匹配的旋转目标图、负例与困难例，记录模型和样本哈希。
2. 从旋转框检测模板创建本轮图片场景；检查参数和编排，保存后重新打开，并只读回查默认及各配置版本。
3. 上传正例执行图片分析，核对原图、类别、分值与旋转框坐标/角度及叠加图；分别执行负例和困难例。
4. 选择基准分值介于0和1的稳定目标，在其分值两侧设置直接置信度阈值并重放同一图片；记录低阈值保留、高阈值过滤的目标证据。
5. 刷新或重新选择场景，确认临时阈值没有覆盖默认值；修改场景默认阈值、保存并重开，核对回读及新分析结果。
6. 保存前后核对场景级及检测节点参数声明：不含置信度偏移；不提供视频区域、屏蔽区域或布防设置，直接置信度阈值仍可配置。
7. 完成后释放本轮图片任务，删除临时场景并恢复修改的配置；核对其他视频场景保持原样。</x:v>
      </x:c>
      <x:c r="I336" s="9" t="str">
        <x:v>场景保存/重开后旧字段不回流；直接置信度有效，临时覆盖与持久默认相互独立。正例返回与原图一致的旋转框、类别和分值，不能只以请求成功判通过；同一稳定目标在阈值两侧分别保留/过滤。负例、困难例按真值独立记录，不据少量样本宣称精度。</x:v>
      </x:c>
      <x:c r="J336" s="9" t="str">
        <x:v>释放本轮图片任务并删除临时场景；恢复本轮改动的默认值；保留失败样本编号和证据，不影响既有业务。</x:v>
      </x:c>
      <x:c r="K336" s="9" t="str">
        <x:v>模板及场景参数截图；各配置版本只读回查；模型/样本哈希；旋转框原始结果与叠加图；阈值对照；默认回读；清理记录。</x:v>
      </x:c>
      <x:c r="L336" s="9" t="str">
        <x:v>UI创建配置与图片分析＋API只读核对</x:v>
      </x:c>
      <x:c r="M336" s="9" t="str">
        <x:v>发布全量/OBB或图片参数变更</x:v>
      </x:c>
      <x:c r="N336" s="9" t="str">
        <x:v>仅bm1688、cv186x、x86的OBB能力；每个平台独立取证。其他平台按能力证据记不适用；模板存在不等于模型已安装。</x:v>
      </x:c>
      <x:c r="O336" s="9" t="str">
        <x:v>data/resource/aiboxresource_bm1688/algorithm_template/38874_yolo26_obb_20260914170000.json</x:v>
      </x:c>
      <x:c r="P336" s="9" t="str">
        <x:v>未执行</x:v>
      </x:c>
      <x:c r="Q336" s="12" t="str">
        <x:v>新增OBB回归；未实机执行，不继承其他图片场景通过结果。</x:v>
      </x:c>
      <x:c r="R336" s="9"/>
      <x:c r="S336" s="9"/>
      <x:c r="T336" s="9" t="n">
        <x:v>1</x:v>
      </x:c>
      <x:c r="U336" s="9" t="str">
        <x:v>DUT;MODEL-INVENTORY;IMAGE-MEDIA;SCENARIO-TRUTH</x:v>
      </x:c>
      <x:c r="V336" s="9" t="str">
        <x:v>codex-ui-and-evidence</x:v>
      </x:c>
      <x:c r="W336" s="9"/>
      <x:c r="X336" s="9"/>
      <x:c r="Y336" s="9"/>
      <x:c r="Z336" s="9"/>
      <x:c r="AA336" s="9"/>
      <x:c r="AB336" s="9"/>
      <x:c r="AC336" s="9"/>
    </x:row>
  </x:sheetData>
  <x:conditionalFormatting sqref="P5:P312">
    <x:cfRule type="containsText" dxfId="0" priority="1" operator="containsText" text="失败"/>
    <x:cfRule type="containsText" dxfId="1" priority="2" operator="containsText" text="阻塞"/>
  </x:conditionalFormatting>
  <x:dataValidations count="2">
    <x:dataValidation type="list" sqref="P5:P312">
      <x:formula1>"未执行,执行中,通过,失败,阻塞,不适用"</x:formula1>
    </x:dataValidation>
    <x:dataValidation type="list" sqref="P5:P316">
      <x:formula1>"未执行,通过,失败,阻塞,部分完成,不适用"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55aceb121e4fc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0" hidden="0" customWidth="1"/>
    <x:col min="2" max="2" width="22" hidden="0" customWidth="1"/>
    <x:col min="3" max="3" width="18" hidden="0" customWidth="1"/>
    <x:col min="4" max="4" width="55" hidden="0" customWidth="1"/>
    <x:col min="5" max="5" width="80" hidden="0" customWidth="1"/>
    <x:col min="6" max="6" width="60" hidden="0" customWidth="1"/>
    <x:col min="7" max="7" width="75" hidden="0" customWidth="1"/>
    <x:col min="8" max="8" width="15" hidden="0" customWidth="1"/>
    <x:col min="9" max="9" width="50" hidden="0" customWidth="1"/>
  </x:cols>
  <x:sheetData>
    <x:row r="2" ht="29" customHeight="1">
      <x:c r="A2" s="1" t="str">
        <x:v>设备与协议执行实例</x:v>
      </x:c>
    </x:row>
    <x:row r="4" ht="34" customHeight="1">
      <x:c r="A4" s="8" t="str">
        <x:v>实例ID</x:v>
      </x:c>
      <x:c r="B4" s="8" t="str">
        <x:v>设备</x:v>
      </x:c>
      <x:c r="C4" s="8" t="str">
        <x:v>协议</x:v>
      </x:c>
      <x:c r="D4" s="8" t="str">
        <x:v>通道或码流</x:v>
      </x:c>
      <x:c r="E4" s="8" t="str">
        <x:v>组合与前置</x:v>
      </x:c>
      <x:c r="F4" s="8" t="str">
        <x:v>关联用例</x:v>
      </x:c>
      <x:c r="G4" s="8" t="str">
        <x:v>完成标志</x:v>
      </x:c>
      <x:c r="H4" s="8" t="str">
        <x:v>执行状态</x:v>
      </x:c>
      <x:c r="I4" s="8" t="str">
        <x:v>说明</x:v>
      </x:c>
    </x:row>
    <x:row r="5" ht="32" customHeight="1">
      <x:c r="A5" s="4" t="str">
        <x:v>CAM-HK-A-RTSP</x:v>
      </x:c>
      <x:c r="B5" s="4" t="str">
        <x:v>CAM-HK-A</x:v>
      </x:c>
      <x:c r="C5" s="4" t="str">
        <x:v>RTSP</x:v>
      </x:c>
      <x:c r="D5" s="4" t="str">
        <x:v>该摄像机实际主/子码流</x:v>
      </x:c>
      <x:c r="E5" s="4" t="str">
        <x:v>H264/H265分别按实际支持实例化；不改未知摄像机设置</x:v>
      </x:c>
      <x:c r="F5" s="4" t="str">
        <x:v>CAM-001；CAM-007；CAM-008</x:v>
      </x:c>
      <x:c r="G5" s="4" t="str">
        <x:v>预览＋抓拍＋任务事件＋断流恢复</x:v>
      </x:c>
      <x:c r="H5" s="4" t="str">
        <x:v>未执行</x:v>
      </x:c>
      <x:c r="I5" s="12" t="str"/>
    </x:row>
    <x:row r="6" ht="32" customHeight="1">
      <x:c r="A6" s="9" t="str">
        <x:v>CAM-HK-A-ONVIF</x:v>
      </x:c>
      <x:c r="B6" s="9" t="str">
        <x:v>CAM-HK-A</x:v>
      </x:c>
      <x:c r="C6" s="9" t="str">
        <x:v>ONVIF</x:v>
      </x:c>
      <x:c r="D6" s="9" t="str">
        <x:v>自动Profile及手动/发现两入口</x:v>
      </x:c>
      <x:c r="E6" s="9" t="str">
        <x:v>ONVIF账号与RTSP账号分别核对</x:v>
      </x:c>
      <x:c r="F6" s="9" t="str">
        <x:v>ONVIF-001；ONVIF-002；ONVIF-007</x:v>
      </x:c>
      <x:c r="G6" s="9" t="str">
        <x:v>发现/查询成功＋真正取流＋任务</x:v>
      </x:c>
      <x:c r="H6" s="9" t="str">
        <x:v>未执行</x:v>
      </x:c>
      <x:c r="I6" s="12" t="str"/>
    </x:row>
    <x:row r="7" ht="32" customHeight="1">
      <x:c r="A7" s="4" t="str">
        <x:v>CAM-DH-RTSP</x:v>
      </x:c>
      <x:c r="B7" s="4" t="str">
        <x:v>CAM-DH</x:v>
      </x:c>
      <x:c r="C7" s="4" t="str">
        <x:v>RTSP</x:v>
      </x:c>
      <x:c r="D7" s="4" t="str">
        <x:v>该摄像机实际主/子码流</x:v>
      </x:c>
      <x:c r="E7" s="4" t="str">
        <x:v>H264/H265分别按实际支持实例化；不改未知摄像机设置</x:v>
      </x:c>
      <x:c r="F7" s="4" t="str">
        <x:v>CAM-001；CAM-007；CAM-008</x:v>
      </x:c>
      <x:c r="G7" s="4" t="str">
        <x:v>预览＋抓拍＋任务事件＋断流恢复</x:v>
      </x:c>
      <x:c r="H7" s="4" t="str">
        <x:v>未执行</x:v>
      </x:c>
      <x:c r="I7" s="12" t="str"/>
    </x:row>
    <x:row r="8" ht="32" customHeight="1">
      <x:c r="A8" s="9" t="str">
        <x:v>CAM-DH-ONVIF</x:v>
      </x:c>
      <x:c r="B8" s="9" t="str">
        <x:v>CAM-DH</x:v>
      </x:c>
      <x:c r="C8" s="9" t="str">
        <x:v>ONVIF</x:v>
      </x:c>
      <x:c r="D8" s="9" t="str">
        <x:v>自动Profile及手动/发现两入口</x:v>
      </x:c>
      <x:c r="E8" s="9" t="str">
        <x:v>ONVIF账号与RTSP账号分别核对</x:v>
      </x:c>
      <x:c r="F8" s="9" t="str">
        <x:v>ONVIF-001；ONVIF-002；ONVIF-007</x:v>
      </x:c>
      <x:c r="G8" s="9" t="str">
        <x:v>发现/查询成功＋真正取流＋任务</x:v>
      </x:c>
      <x:c r="H8" s="9" t="str">
        <x:v>未执行</x:v>
      </x:c>
      <x:c r="I8" s="12" t="str"/>
    </x:row>
    <x:row r="9" ht="32" customHeight="1">
      <x:c r="A9" s="4" t="str">
        <x:v>CAM-HK-B-RTSP</x:v>
      </x:c>
      <x:c r="B9" s="4" t="str">
        <x:v>CAM-HK-B</x:v>
      </x:c>
      <x:c r="C9" s="4" t="str">
        <x:v>RTSP</x:v>
      </x:c>
      <x:c r="D9" s="4" t="str">
        <x:v>该摄像机实际主/子码流</x:v>
      </x:c>
      <x:c r="E9" s="4" t="str">
        <x:v>H264/H265分别按实际支持实例化；不改未知摄像机设置</x:v>
      </x:c>
      <x:c r="F9" s="4" t="str">
        <x:v>CAM-001；CAM-007；CAM-008</x:v>
      </x:c>
      <x:c r="G9" s="4" t="str">
        <x:v>预览＋抓拍＋任务事件＋断流恢复</x:v>
      </x:c>
      <x:c r="H9" s="4" t="str">
        <x:v>未执行</x:v>
      </x:c>
      <x:c r="I9" s="12" t="str"/>
    </x:row>
    <x:row r="10" ht="32" customHeight="1">
      <x:c r="A10" s="9" t="str">
        <x:v>CAM-HK-B-ONVIF</x:v>
      </x:c>
      <x:c r="B10" s="9" t="str">
        <x:v>CAM-HK-B</x:v>
      </x:c>
      <x:c r="C10" s="9" t="str">
        <x:v>ONVIF</x:v>
      </x:c>
      <x:c r="D10" s="9" t="str">
        <x:v>自动Profile及手动/发现两入口</x:v>
      </x:c>
      <x:c r="E10" s="9" t="str">
        <x:v>ONVIF账号与RTSP账号分别核对</x:v>
      </x:c>
      <x:c r="F10" s="9" t="str">
        <x:v>ONVIF-001；ONVIF-002；ONVIF-007</x:v>
      </x:c>
      <x:c r="G10" s="9" t="str">
        <x:v>发现/查询成功＋真正取流＋任务</x:v>
      </x:c>
      <x:c r="H10" s="9" t="str">
        <x:v>未执行</x:v>
      </x:c>
      <x:c r="I10" s="12" t="str"/>
    </x:row>
    <x:row r="11" ht="32" customHeight="1">
      <x:c r="A11" s="4" t="str">
        <x:v>CAM-UNV-RTSP</x:v>
      </x:c>
      <x:c r="B11" s="4" t="str">
        <x:v>CAM-UNV</x:v>
      </x:c>
      <x:c r="C11" s="4" t="str">
        <x:v>RTSP</x:v>
      </x:c>
      <x:c r="D11" s="4" t="str">
        <x:v>该摄像机实际主/子码流</x:v>
      </x:c>
      <x:c r="E11" s="4" t="str">
        <x:v>H264/H265分别按实际支持实例化；不改未知摄像机设置</x:v>
      </x:c>
      <x:c r="F11" s="4" t="str">
        <x:v>CAM-001；CAM-007；CAM-008</x:v>
      </x:c>
      <x:c r="G11" s="4" t="str">
        <x:v>预览＋抓拍＋任务事件＋断流恢复</x:v>
      </x:c>
      <x:c r="H11" s="4" t="str">
        <x:v>未执行</x:v>
      </x:c>
      <x:c r="I11" s="12" t="str"/>
    </x:row>
    <x:row r="12" ht="32" customHeight="1">
      <x:c r="A12" s="9" t="str">
        <x:v>CAM-UNV-ONVIF</x:v>
      </x:c>
      <x:c r="B12" s="9" t="str">
        <x:v>CAM-UNV</x:v>
      </x:c>
      <x:c r="C12" s="9" t="str">
        <x:v>ONVIF</x:v>
      </x:c>
      <x:c r="D12" s="9" t="str">
        <x:v>自动Profile及手动/发现两入口</x:v>
      </x:c>
      <x:c r="E12" s="9" t="str">
        <x:v>ONVIF账号与RTSP账号分别核对</x:v>
      </x:c>
      <x:c r="F12" s="9" t="str">
        <x:v>ONVIF-001；ONVIF-002；ONVIF-007</x:v>
      </x:c>
      <x:c r="G12" s="9" t="str">
        <x:v>发现/查询成功＋真正取流＋任务</x:v>
      </x:c>
      <x:c r="H12" s="9" t="str">
        <x:v>未执行</x:v>
      </x:c>
      <x:c r="I12" s="12" t="str"/>
    </x:row>
    <x:row r="13" ht="32" customHeight="1">
      <x:c r="A13" s="4" t="str">
        <x:v>CAM-HK-A-GB-09</x:v>
      </x:c>
      <x:c r="B13" s="4" t="str">
        <x:v>CAM-HK-A</x:v>
      </x:c>
      <x:c r="C13" s="4" t="str">
        <x:v>GB28181</x:v>
      </x:c>
      <x:c r="D13" s="4" t="str">
        <x:v>摄像机视频通道</x:v>
      </x:c>
      <x:c r="E13" s="4" t="str">
        <x:v>SIP=TCP；媒体=TCP；仅设备支持组合执行，编码按实测展开</x:v>
      </x:c>
      <x:c r="F13" s="4" t="str">
        <x:v>GB-002；GB-003；GB-004</x:v>
      </x:c>
      <x:c r="G13" s="4" t="str">
        <x:v>注册＋目录＋点播＋媒体＋解码＋任务，每阶段独立取证</x:v>
      </x:c>
      <x:c r="H13" s="4" t="str">
        <x:v>未执行</x:v>
      </x:c>
      <x:c r="I13" s="12" t="str"/>
    </x:row>
    <x:row r="14" ht="32" customHeight="1">
      <x:c r="A14" s="9" t="str">
        <x:v>CAM-HK-A-GB-10</x:v>
      </x:c>
      <x:c r="B14" s="9" t="str">
        <x:v>CAM-HK-A</x:v>
      </x:c>
      <x:c r="C14" s="9" t="str">
        <x:v>GB28181</x:v>
      </x:c>
      <x:c r="D14" s="9" t="str">
        <x:v>摄像机视频通道</x:v>
      </x:c>
      <x:c r="E14" s="9" t="str">
        <x:v>SIP=UDP；媒体=TCP；仅设备支持组合执行，编码按实测展开</x:v>
      </x:c>
      <x:c r="F14" s="9" t="str">
        <x:v>GB-002；GB-003；GB-004</x:v>
      </x:c>
      <x:c r="G14" s="9" t="str">
        <x:v>注册＋目录＋点播＋媒体＋解码＋任务，每阶段独立取证</x:v>
      </x:c>
      <x:c r="H14" s="9" t="str">
        <x:v>未执行</x:v>
      </x:c>
      <x:c r="I14" s="12" t="str"/>
    </x:row>
    <x:row r="15" ht="32" customHeight="1">
      <x:c r="A15" s="4" t="str">
        <x:v>CAM-HK-A-GB-11</x:v>
      </x:c>
      <x:c r="B15" s="4" t="str">
        <x:v>CAM-HK-A</x:v>
      </x:c>
      <x:c r="C15" s="4" t="str">
        <x:v>GB28181</x:v>
      </x:c>
      <x:c r="D15" s="4" t="str">
        <x:v>摄像机视频通道</x:v>
      </x:c>
      <x:c r="E15" s="4" t="str">
        <x:v>SIP=TCP；媒体=UDP；仅设备支持组合执行，编码按实测展开</x:v>
      </x:c>
      <x:c r="F15" s="4" t="str">
        <x:v>GB-002；GB-003；GB-004</x:v>
      </x:c>
      <x:c r="G15" s="4" t="str">
        <x:v>注册＋目录＋点播＋媒体＋解码＋任务，每阶段独立取证</x:v>
      </x:c>
      <x:c r="H15" s="4" t="str">
        <x:v>未执行</x:v>
      </x:c>
      <x:c r="I15" s="12" t="str"/>
    </x:row>
    <x:row r="16" ht="32" customHeight="1">
      <x:c r="A16" s="9" t="str">
        <x:v>CAM-HK-A-GB-12</x:v>
      </x:c>
      <x:c r="B16" s="9" t="str">
        <x:v>CAM-HK-A</x:v>
      </x:c>
      <x:c r="C16" s="9" t="str">
        <x:v>GB28181</x:v>
      </x:c>
      <x:c r="D16" s="9" t="str">
        <x:v>摄像机视频通道</x:v>
      </x:c>
      <x:c r="E16" s="9" t="str">
        <x:v>SIP=UDP；媒体=UDP；仅设备支持组合执行，编码按实测展开</x:v>
      </x:c>
      <x:c r="F16" s="9" t="str">
        <x:v>GB-002；GB-003；GB-004</x:v>
      </x:c>
      <x:c r="G16" s="9" t="str">
        <x:v>注册＋目录＋点播＋媒体＋解码＋任务，每阶段独立取证</x:v>
      </x:c>
      <x:c r="H16" s="9" t="str">
        <x:v>未执行</x:v>
      </x:c>
      <x:c r="I16" s="12" t="str"/>
    </x:row>
    <x:row r="17" ht="32" customHeight="1">
      <x:c r="A17" s="4" t="str">
        <x:v>CAM-DH-GB-13</x:v>
      </x:c>
      <x:c r="B17" s="4" t="str">
        <x:v>CAM-DH</x:v>
      </x:c>
      <x:c r="C17" s="4" t="str">
        <x:v>GB28181</x:v>
      </x:c>
      <x:c r="D17" s="4" t="str">
        <x:v>摄像机视频通道</x:v>
      </x:c>
      <x:c r="E17" s="4" t="str">
        <x:v>SIP=TCP；媒体=TCP；仅设备支持组合执行，编码按实测展开</x:v>
      </x:c>
      <x:c r="F17" s="4" t="str">
        <x:v>GB-002；GB-003；GB-004</x:v>
      </x:c>
      <x:c r="G17" s="4" t="str">
        <x:v>注册＋目录＋点播＋媒体＋解码＋任务，每阶段独立取证</x:v>
      </x:c>
      <x:c r="H17" s="4" t="str">
        <x:v>未执行</x:v>
      </x:c>
      <x:c r="I17" s="12" t="str"/>
    </x:row>
    <x:row r="18" ht="32" customHeight="1">
      <x:c r="A18" s="9" t="str">
        <x:v>CAM-DH-GB-14</x:v>
      </x:c>
      <x:c r="B18" s="9" t="str">
        <x:v>CAM-DH</x:v>
      </x:c>
      <x:c r="C18" s="9" t="str">
        <x:v>GB28181</x:v>
      </x:c>
      <x:c r="D18" s="9" t="str">
        <x:v>摄像机视频通道</x:v>
      </x:c>
      <x:c r="E18" s="9" t="str">
        <x:v>SIP=UDP；媒体=TCP；仅设备支持组合执行，编码按实测展开</x:v>
      </x:c>
      <x:c r="F18" s="9" t="str">
        <x:v>GB-002；GB-003；GB-004</x:v>
      </x:c>
      <x:c r="G18" s="9" t="str">
        <x:v>注册＋目录＋点播＋媒体＋解码＋任务，每阶段独立取证</x:v>
      </x:c>
      <x:c r="H18" s="9" t="str">
        <x:v>未执行</x:v>
      </x:c>
      <x:c r="I18" s="12" t="str"/>
    </x:row>
    <x:row r="19" ht="32" customHeight="1">
      <x:c r="A19" s="4" t="str">
        <x:v>CAM-DH-GB-15</x:v>
      </x:c>
      <x:c r="B19" s="4" t="str">
        <x:v>CAM-DH</x:v>
      </x:c>
      <x:c r="C19" s="4" t="str">
        <x:v>GB28181</x:v>
      </x:c>
      <x:c r="D19" s="4" t="str">
        <x:v>摄像机视频通道</x:v>
      </x:c>
      <x:c r="E19" s="4" t="str">
        <x:v>SIP=TCP；媒体=UDP；仅设备支持组合执行，编码按实测展开</x:v>
      </x:c>
      <x:c r="F19" s="4" t="str">
        <x:v>GB-002；GB-003；GB-004</x:v>
      </x:c>
      <x:c r="G19" s="4" t="str">
        <x:v>注册＋目录＋点播＋媒体＋解码＋任务，每阶段独立取证</x:v>
      </x:c>
      <x:c r="H19" s="4" t="str">
        <x:v>未执行</x:v>
      </x:c>
      <x:c r="I19" s="12" t="str"/>
    </x:row>
    <x:row r="20" ht="32" customHeight="1">
      <x:c r="A20" s="9" t="str">
        <x:v>CAM-DH-GB-16</x:v>
      </x:c>
      <x:c r="B20" s="9" t="str">
        <x:v>CAM-DH</x:v>
      </x:c>
      <x:c r="C20" s="9" t="str">
        <x:v>GB28181</x:v>
      </x:c>
      <x:c r="D20" s="9" t="str">
        <x:v>摄像机视频通道</x:v>
      </x:c>
      <x:c r="E20" s="9" t="str">
        <x:v>SIP=UDP；媒体=UDP；仅设备支持组合执行，编码按实测展开</x:v>
      </x:c>
      <x:c r="F20" s="9" t="str">
        <x:v>GB-002；GB-003；GB-004</x:v>
      </x:c>
      <x:c r="G20" s="9" t="str">
        <x:v>注册＋目录＋点播＋媒体＋解码＋任务，每阶段独立取证</x:v>
      </x:c>
      <x:c r="H20" s="9" t="str">
        <x:v>未执行</x:v>
      </x:c>
      <x:c r="I20" s="12" t="str"/>
    </x:row>
    <x:row r="21" ht="32" customHeight="1">
      <x:c r="A21" s="4" t="str">
        <x:v>CAM-HK-B-GB-17</x:v>
      </x:c>
      <x:c r="B21" s="4" t="str">
        <x:v>CAM-HK-B</x:v>
      </x:c>
      <x:c r="C21" s="4" t="str">
        <x:v>GB28181</x:v>
      </x:c>
      <x:c r="D21" s="4" t="str">
        <x:v>摄像机视频通道</x:v>
      </x:c>
      <x:c r="E21" s="4" t="str">
        <x:v>SIP=TCP；媒体=TCP；仅设备支持组合执行，编码按实测展开</x:v>
      </x:c>
      <x:c r="F21" s="4" t="str">
        <x:v>GB-002；GB-003；GB-004</x:v>
      </x:c>
      <x:c r="G21" s="4" t="str">
        <x:v>注册＋目录＋点播＋媒体＋解码＋任务，每阶段独立取证</x:v>
      </x:c>
      <x:c r="H21" s="4" t="str">
        <x:v>未执行</x:v>
      </x:c>
      <x:c r="I21" s="12" t="str"/>
    </x:row>
    <x:row r="22" ht="32" customHeight="1">
      <x:c r="A22" s="9" t="str">
        <x:v>CAM-HK-B-GB-18</x:v>
      </x:c>
      <x:c r="B22" s="9" t="str">
        <x:v>CAM-HK-B</x:v>
      </x:c>
      <x:c r="C22" s="9" t="str">
        <x:v>GB28181</x:v>
      </x:c>
      <x:c r="D22" s="9" t="str">
        <x:v>摄像机视频通道</x:v>
      </x:c>
      <x:c r="E22" s="9" t="str">
        <x:v>SIP=UDP；媒体=TCP；仅设备支持组合执行，编码按实测展开</x:v>
      </x:c>
      <x:c r="F22" s="9" t="str">
        <x:v>GB-002；GB-003；GB-004</x:v>
      </x:c>
      <x:c r="G22" s="9" t="str">
        <x:v>注册＋目录＋点播＋媒体＋解码＋任务，每阶段独立取证</x:v>
      </x:c>
      <x:c r="H22" s="9" t="str">
        <x:v>未执行</x:v>
      </x:c>
      <x:c r="I22" s="12" t="str"/>
    </x:row>
    <x:row r="23" ht="32" customHeight="1">
      <x:c r="A23" s="4" t="str">
        <x:v>CAM-HK-B-GB-19</x:v>
      </x:c>
      <x:c r="B23" s="4" t="str">
        <x:v>CAM-HK-B</x:v>
      </x:c>
      <x:c r="C23" s="4" t="str">
        <x:v>GB28181</x:v>
      </x:c>
      <x:c r="D23" s="4" t="str">
        <x:v>摄像机视频通道</x:v>
      </x:c>
      <x:c r="E23" s="4" t="str">
        <x:v>SIP=TCP；媒体=UDP；仅设备支持组合执行，编码按实测展开</x:v>
      </x:c>
      <x:c r="F23" s="4" t="str">
        <x:v>GB-002；GB-003；GB-004</x:v>
      </x:c>
      <x:c r="G23" s="4" t="str">
        <x:v>注册＋目录＋点播＋媒体＋解码＋任务，每阶段独立取证</x:v>
      </x:c>
      <x:c r="H23" s="4" t="str">
        <x:v>未执行</x:v>
      </x:c>
      <x:c r="I23" s="12" t="str"/>
    </x:row>
    <x:row r="24" ht="32" customHeight="1">
      <x:c r="A24" s="9" t="str">
        <x:v>CAM-HK-B-GB-20</x:v>
      </x:c>
      <x:c r="B24" s="9" t="str">
        <x:v>CAM-HK-B</x:v>
      </x:c>
      <x:c r="C24" s="9" t="str">
        <x:v>GB28181</x:v>
      </x:c>
      <x:c r="D24" s="9" t="str">
        <x:v>摄像机视频通道</x:v>
      </x:c>
      <x:c r="E24" s="9" t="str">
        <x:v>SIP=UDP；媒体=UDP；仅设备支持组合执行，编码按实测展开</x:v>
      </x:c>
      <x:c r="F24" s="9" t="str">
        <x:v>GB-002；GB-003；GB-004</x:v>
      </x:c>
      <x:c r="G24" s="9" t="str">
        <x:v>注册＋目录＋点播＋媒体＋解码＋任务，每阶段独立取证</x:v>
      </x:c>
      <x:c r="H24" s="9" t="str">
        <x:v>未执行</x:v>
      </x:c>
      <x:c r="I24" s="12" t="str"/>
    </x:row>
    <x:row r="25" ht="32" customHeight="1">
      <x:c r="A25" s="4" t="str">
        <x:v>NVR-A-GB-21</x:v>
      </x:c>
      <x:c r="B25" s="4" t="str">
        <x:v>NVR-A</x:v>
      </x:c>
      <x:c r="C25" s="4" t="str">
        <x:v>GB28181</x:v>
      </x:c>
      <x:c r="D25" s="4" t="str">
        <x:v>NVR通道1</x:v>
      </x:c>
      <x:c r="E25" s="4" t="str">
        <x:v>SIP=TCP；媒体=TCP；仅设备支持组合执行，编码按实测展开</x:v>
      </x:c>
      <x:c r="F25" s="4" t="str">
        <x:v>GB-002；GB-003；GB-004</x:v>
      </x:c>
      <x:c r="G25" s="4" t="str">
        <x:v>注册＋目录＋点播＋媒体＋解码＋任务，每阶段独立取证</x:v>
      </x:c>
      <x:c r="H25" s="4" t="str">
        <x:v>未执行</x:v>
      </x:c>
      <x:c r="I25" s="12" t="str"/>
    </x:row>
    <x:row r="26" ht="32" customHeight="1">
      <x:c r="A26" s="9" t="str">
        <x:v>NVR-A-GB-22</x:v>
      </x:c>
      <x:c r="B26" s="9" t="str">
        <x:v>NVR-A</x:v>
      </x:c>
      <x:c r="C26" s="9" t="str">
        <x:v>GB28181</x:v>
      </x:c>
      <x:c r="D26" s="9" t="str">
        <x:v>NVR通道1</x:v>
      </x:c>
      <x:c r="E26" s="9" t="str">
        <x:v>SIP=UDP；媒体=TCP；仅设备支持组合执行，编码按实测展开</x:v>
      </x:c>
      <x:c r="F26" s="9" t="str">
        <x:v>GB-002；GB-003；GB-004</x:v>
      </x:c>
      <x:c r="G26" s="9" t="str">
        <x:v>注册＋目录＋点播＋媒体＋解码＋任务，每阶段独立取证</x:v>
      </x:c>
      <x:c r="H26" s="9" t="str">
        <x:v>未执行</x:v>
      </x:c>
      <x:c r="I26" s="12" t="str"/>
    </x:row>
    <x:row r="27" ht="32" customHeight="1">
      <x:c r="A27" s="4" t="str">
        <x:v>NVR-A-GB-23</x:v>
      </x:c>
      <x:c r="B27" s="4" t="str">
        <x:v>NVR-A</x:v>
      </x:c>
      <x:c r="C27" s="4" t="str">
        <x:v>GB28181</x:v>
      </x:c>
      <x:c r="D27" s="4" t="str">
        <x:v>NVR通道1</x:v>
      </x:c>
      <x:c r="E27" s="4" t="str">
        <x:v>SIP=TCP；媒体=UDP；仅设备支持组合执行，编码按实测展开</x:v>
      </x:c>
      <x:c r="F27" s="4" t="str">
        <x:v>GB-002；GB-003；GB-004</x:v>
      </x:c>
      <x:c r="G27" s="4" t="str">
        <x:v>注册＋目录＋点播＋媒体＋解码＋任务，每阶段独立取证</x:v>
      </x:c>
      <x:c r="H27" s="4" t="str">
        <x:v>未执行</x:v>
      </x:c>
      <x:c r="I27" s="12" t="str"/>
    </x:row>
    <x:row r="28" ht="32" customHeight="1">
      <x:c r="A28" s="9" t="str">
        <x:v>NVR-A-GB-24</x:v>
      </x:c>
      <x:c r="B28" s="9" t="str">
        <x:v>NVR-A</x:v>
      </x:c>
      <x:c r="C28" s="9" t="str">
        <x:v>GB28181</x:v>
      </x:c>
      <x:c r="D28" s="9" t="str">
        <x:v>NVR通道1</x:v>
      </x:c>
      <x:c r="E28" s="9" t="str">
        <x:v>SIP=UDP；媒体=UDP；仅设备支持组合执行，编码按实测展开</x:v>
      </x:c>
      <x:c r="F28" s="9" t="str">
        <x:v>GB-002；GB-003；GB-004</x:v>
      </x:c>
      <x:c r="G28" s="9" t="str">
        <x:v>注册＋目录＋点播＋媒体＋解码＋任务，每阶段独立取证</x:v>
      </x:c>
      <x:c r="H28" s="9" t="str">
        <x:v>未执行</x:v>
      </x:c>
      <x:c r="I28" s="12" t="str"/>
    </x:row>
    <x:row r="29" ht="32" customHeight="1">
      <x:c r="A29" s="4" t="str">
        <x:v>NVR-A-GB-25</x:v>
      </x:c>
      <x:c r="B29" s="4" t="str">
        <x:v>NVR-A</x:v>
      </x:c>
      <x:c r="C29" s="4" t="str">
        <x:v>GB28181</x:v>
      </x:c>
      <x:c r="D29" s="4" t="str">
        <x:v>NVR通道2</x:v>
      </x:c>
      <x:c r="E29" s="4" t="str">
        <x:v>SIP=TCP；媒体=TCP；仅设备支持组合执行，编码按实测展开</x:v>
      </x:c>
      <x:c r="F29" s="4" t="str">
        <x:v>GB-002；GB-003；GB-004</x:v>
      </x:c>
      <x:c r="G29" s="4" t="str">
        <x:v>注册＋目录＋点播＋媒体＋解码＋任务，每阶段独立取证</x:v>
      </x:c>
      <x:c r="H29" s="4" t="str">
        <x:v>未执行</x:v>
      </x:c>
      <x:c r="I29" s="12" t="str"/>
    </x:row>
    <x:row r="30" ht="32" customHeight="1">
      <x:c r="A30" s="9" t="str">
        <x:v>NVR-A-GB-26</x:v>
      </x:c>
      <x:c r="B30" s="9" t="str">
        <x:v>NVR-A</x:v>
      </x:c>
      <x:c r="C30" s="9" t="str">
        <x:v>GB28181</x:v>
      </x:c>
      <x:c r="D30" s="9" t="str">
        <x:v>NVR通道2</x:v>
      </x:c>
      <x:c r="E30" s="9" t="str">
        <x:v>SIP=UDP；媒体=TCP；仅设备支持组合执行，编码按实测展开</x:v>
      </x:c>
      <x:c r="F30" s="9" t="str">
        <x:v>GB-002；GB-003；GB-004</x:v>
      </x:c>
      <x:c r="G30" s="9" t="str">
        <x:v>注册＋目录＋点播＋媒体＋解码＋任务，每阶段独立取证</x:v>
      </x:c>
      <x:c r="H30" s="9" t="str">
        <x:v>未执行</x:v>
      </x:c>
      <x:c r="I30" s="12" t="str"/>
    </x:row>
    <x:row r="31" ht="32" customHeight="1">
      <x:c r="A31" s="4" t="str">
        <x:v>NVR-A-GB-27</x:v>
      </x:c>
      <x:c r="B31" s="4" t="str">
        <x:v>NVR-A</x:v>
      </x:c>
      <x:c r="C31" s="4" t="str">
        <x:v>GB28181</x:v>
      </x:c>
      <x:c r="D31" s="4" t="str">
        <x:v>NVR通道2</x:v>
      </x:c>
      <x:c r="E31" s="4" t="str">
        <x:v>SIP=TCP；媒体=UDP；仅设备支持组合执行，编码按实测展开</x:v>
      </x:c>
      <x:c r="F31" s="4" t="str">
        <x:v>GB-002；GB-003；GB-004</x:v>
      </x:c>
      <x:c r="G31" s="4" t="str">
        <x:v>注册＋目录＋点播＋媒体＋解码＋任务，每阶段独立取证</x:v>
      </x:c>
      <x:c r="H31" s="4" t="str">
        <x:v>未执行</x:v>
      </x:c>
      <x:c r="I31" s="12" t="str"/>
    </x:row>
    <x:row r="32" ht="32" customHeight="1">
      <x:c r="A32" s="9" t="str">
        <x:v>NVR-A-GB-28</x:v>
      </x:c>
      <x:c r="B32" s="9" t="str">
        <x:v>NVR-A</x:v>
      </x:c>
      <x:c r="C32" s="9" t="str">
        <x:v>GB28181</x:v>
      </x:c>
      <x:c r="D32" s="9" t="str">
        <x:v>NVR通道2</x:v>
      </x:c>
      <x:c r="E32" s="9" t="str">
        <x:v>SIP=UDP；媒体=UDP；仅设备支持组合执行，编码按实测展开</x:v>
      </x:c>
      <x:c r="F32" s="9" t="str">
        <x:v>GB-002；GB-003；GB-004</x:v>
      </x:c>
      <x:c r="G32" s="9" t="str">
        <x:v>注册＋目录＋点播＋媒体＋解码＋任务，每阶段独立取证</x:v>
      </x:c>
      <x:c r="H32" s="9" t="str">
        <x:v>未执行</x:v>
      </x:c>
      <x:c r="I32" s="12" t="str"/>
    </x:row>
    <x:row r="33" ht="32" customHeight="1">
      <x:c r="A33" s="4" t="str">
        <x:v>NVR-A-GB-29</x:v>
      </x:c>
      <x:c r="B33" s="4" t="str">
        <x:v>NVR-A</x:v>
      </x:c>
      <x:c r="C33" s="4" t="str">
        <x:v>GB28181</x:v>
      </x:c>
      <x:c r="D33" s="4" t="str">
        <x:v>NVR通道3</x:v>
      </x:c>
      <x:c r="E33" s="4" t="str">
        <x:v>SIP=TCP；媒体=TCP；仅设备支持组合执行，编码按实测展开</x:v>
      </x:c>
      <x:c r="F33" s="4" t="str">
        <x:v>GB-002；GB-003；GB-004</x:v>
      </x:c>
      <x:c r="G33" s="4" t="str">
        <x:v>注册＋目录＋点播＋媒体＋解码＋任务，每阶段独立取证</x:v>
      </x:c>
      <x:c r="H33" s="4" t="str">
        <x:v>未执行</x:v>
      </x:c>
      <x:c r="I33" s="12" t="str"/>
    </x:row>
    <x:row r="34" ht="32" customHeight="1">
      <x:c r="A34" s="9" t="str">
        <x:v>NVR-A-GB-30</x:v>
      </x:c>
      <x:c r="B34" s="9" t="str">
        <x:v>NVR-A</x:v>
      </x:c>
      <x:c r="C34" s="9" t="str">
        <x:v>GB28181</x:v>
      </x:c>
      <x:c r="D34" s="9" t="str">
        <x:v>NVR通道3</x:v>
      </x:c>
      <x:c r="E34" s="9" t="str">
        <x:v>SIP=UDP；媒体=TCP；仅设备支持组合执行，编码按实测展开</x:v>
      </x:c>
      <x:c r="F34" s="9" t="str">
        <x:v>GB-002；GB-003；GB-004</x:v>
      </x:c>
      <x:c r="G34" s="9" t="str">
        <x:v>注册＋目录＋点播＋媒体＋解码＋任务，每阶段独立取证</x:v>
      </x:c>
      <x:c r="H34" s="9" t="str">
        <x:v>未执行</x:v>
      </x:c>
      <x:c r="I34" s="12" t="str"/>
    </x:row>
    <x:row r="35" ht="32" customHeight="1">
      <x:c r="A35" s="4" t="str">
        <x:v>NVR-A-GB-31</x:v>
      </x:c>
      <x:c r="B35" s="4" t="str">
        <x:v>NVR-A</x:v>
      </x:c>
      <x:c r="C35" s="4" t="str">
        <x:v>GB28181</x:v>
      </x:c>
      <x:c r="D35" s="4" t="str">
        <x:v>NVR通道3</x:v>
      </x:c>
      <x:c r="E35" s="4" t="str">
        <x:v>SIP=TCP；媒体=UDP；仅设备支持组合执行，编码按实测展开</x:v>
      </x:c>
      <x:c r="F35" s="4" t="str">
        <x:v>GB-002；GB-003；GB-004</x:v>
      </x:c>
      <x:c r="G35" s="4" t="str">
        <x:v>注册＋目录＋点播＋媒体＋解码＋任务，每阶段独立取证</x:v>
      </x:c>
      <x:c r="H35" s="4" t="str">
        <x:v>未执行</x:v>
      </x:c>
      <x:c r="I35" s="12" t="str"/>
    </x:row>
    <x:row r="36" ht="32" customHeight="1">
      <x:c r="A36" s="9" t="str">
        <x:v>NVR-A-GB-32</x:v>
      </x:c>
      <x:c r="B36" s="9" t="str">
        <x:v>NVR-A</x:v>
      </x:c>
      <x:c r="C36" s="9" t="str">
        <x:v>GB28181</x:v>
      </x:c>
      <x:c r="D36" s="9" t="str">
        <x:v>NVR通道3</x:v>
      </x:c>
      <x:c r="E36" s="9" t="str">
        <x:v>SIP=UDP；媒体=UDP；仅设备支持组合执行，编码按实测展开</x:v>
      </x:c>
      <x:c r="F36" s="9" t="str">
        <x:v>GB-002；GB-003；GB-004</x:v>
      </x:c>
      <x:c r="G36" s="9" t="str">
        <x:v>注册＋目录＋点播＋媒体＋解码＋任务，每阶段独立取证</x:v>
      </x:c>
      <x:c r="H36" s="9" t="str">
        <x:v>未执行</x:v>
      </x:c>
      <x:c r="I36" s="12" t="str"/>
    </x:row>
    <x:row r="37" ht="32" customHeight="1">
      <x:c r="A37" s="4" t="str">
        <x:v>NVR-A-GB-33</x:v>
      </x:c>
      <x:c r="B37" s="4" t="str">
        <x:v>NVR-A</x:v>
      </x:c>
      <x:c r="C37" s="4" t="str">
        <x:v>GB28181</x:v>
      </x:c>
      <x:c r="D37" s="4" t="str">
        <x:v>NVR通道4</x:v>
      </x:c>
      <x:c r="E37" s="4" t="str">
        <x:v>SIP=TCP；媒体=TCP；仅设备支持组合执行，编码按实测展开</x:v>
      </x:c>
      <x:c r="F37" s="4" t="str">
        <x:v>GB-002；GB-003；GB-004</x:v>
      </x:c>
      <x:c r="G37" s="4" t="str">
        <x:v>注册＋目录＋点播＋媒体＋解码＋任务，每阶段独立取证</x:v>
      </x:c>
      <x:c r="H37" s="4" t="str">
        <x:v>未执行</x:v>
      </x:c>
      <x:c r="I37" s="12" t="str"/>
    </x:row>
    <x:row r="38" ht="32" customHeight="1">
      <x:c r="A38" s="9" t="str">
        <x:v>NVR-A-GB-34</x:v>
      </x:c>
      <x:c r="B38" s="9" t="str">
        <x:v>NVR-A</x:v>
      </x:c>
      <x:c r="C38" s="9" t="str">
        <x:v>GB28181</x:v>
      </x:c>
      <x:c r="D38" s="9" t="str">
        <x:v>NVR通道4</x:v>
      </x:c>
      <x:c r="E38" s="9" t="str">
        <x:v>SIP=UDP；媒体=TCP；仅设备支持组合执行，编码按实测展开</x:v>
      </x:c>
      <x:c r="F38" s="9" t="str">
        <x:v>GB-002；GB-003；GB-004</x:v>
      </x:c>
      <x:c r="G38" s="9" t="str">
        <x:v>注册＋目录＋点播＋媒体＋解码＋任务，每阶段独立取证</x:v>
      </x:c>
      <x:c r="H38" s="9" t="str">
        <x:v>未执行</x:v>
      </x:c>
      <x:c r="I38" s="12" t="str"/>
    </x:row>
    <x:row r="39" ht="32" customHeight="1">
      <x:c r="A39" s="4" t="str">
        <x:v>NVR-A-GB-35</x:v>
      </x:c>
      <x:c r="B39" s="4" t="str">
        <x:v>NVR-A</x:v>
      </x:c>
      <x:c r="C39" s="4" t="str">
        <x:v>GB28181</x:v>
      </x:c>
      <x:c r="D39" s="4" t="str">
        <x:v>NVR通道4</x:v>
      </x:c>
      <x:c r="E39" s="4" t="str">
        <x:v>SIP=TCP；媒体=UDP；仅设备支持组合执行，编码按实测展开</x:v>
      </x:c>
      <x:c r="F39" s="4" t="str">
        <x:v>GB-002；GB-003；GB-004</x:v>
      </x:c>
      <x:c r="G39" s="4" t="str">
        <x:v>注册＋目录＋点播＋媒体＋解码＋任务，每阶段独立取证</x:v>
      </x:c>
      <x:c r="H39" s="4" t="str">
        <x:v>未执行</x:v>
      </x:c>
      <x:c r="I39" s="12" t="str"/>
    </x:row>
    <x:row r="40" ht="32" customHeight="1">
      <x:c r="A40" s="9" t="str">
        <x:v>NVR-A-GB-36</x:v>
      </x:c>
      <x:c r="B40" s="9" t="str">
        <x:v>NVR-A</x:v>
      </x:c>
      <x:c r="C40" s="9" t="str">
        <x:v>GB28181</x:v>
      </x:c>
      <x:c r="D40" s="9" t="str">
        <x:v>NVR通道4</x:v>
      </x:c>
      <x:c r="E40" s="9" t="str">
        <x:v>SIP=UDP；媒体=UDP；仅设备支持组合执行，编码按实测展开</x:v>
      </x:c>
      <x:c r="F40" s="9" t="str">
        <x:v>GB-002；GB-003；GB-004</x:v>
      </x:c>
      <x:c r="G40" s="9" t="str">
        <x:v>注册＋目录＋点播＋媒体＋解码＋任务，每阶段独立取证</x:v>
      </x:c>
      <x:c r="H40" s="9" t="str">
        <x:v>未执行</x:v>
      </x:c>
      <x:c r="I40" s="12" t="str"/>
    </x:row>
    <x:row r="41" ht="32" customHeight="1">
      <x:c r="A41" s="4" t="str">
        <x:v>NVR-RTSP-1</x:v>
      </x:c>
      <x:c r="B41" s="4" t="str">
        <x:v>NVR-A</x:v>
      </x:c>
      <x:c r="C41" s="4" t="str">
        <x:v>RTSP</x:v>
      </x:c>
      <x:c r="D41" s="4" t="str">
        <x:v>NVR通道1</x:v>
      </x:c>
      <x:c r="E41" s="4" t="str">
        <x:v>编码/主子码流按真实能力</x:v>
      </x:c>
      <x:c r="F41" s="4" t="str">
        <x:v>CAM-002；CAM-007</x:v>
      </x:c>
      <x:c r="G41" s="4" t="str">
        <x:v>四路独立画面/任务/事件；单路故障不串流</x:v>
      </x:c>
      <x:c r="H41" s="4" t="str">
        <x:v>未执行</x:v>
      </x:c>
      <x:c r="I41" s="12" t="str"/>
    </x:row>
    <x:row r="42" ht="32" customHeight="1">
      <x:c r="A42" s="9" t="str">
        <x:v>NVR-RTSP-2</x:v>
      </x:c>
      <x:c r="B42" s="9" t="str">
        <x:v>NVR-A</x:v>
      </x:c>
      <x:c r="C42" s="9" t="str">
        <x:v>RTSP</x:v>
      </x:c>
      <x:c r="D42" s="9" t="str">
        <x:v>NVR通道2</x:v>
      </x:c>
      <x:c r="E42" s="9" t="str">
        <x:v>编码/主子码流按真实能力</x:v>
      </x:c>
      <x:c r="F42" s="9" t="str">
        <x:v>CAM-002；CAM-007</x:v>
      </x:c>
      <x:c r="G42" s="9" t="str">
        <x:v>四路独立画面/任务/事件；单路故障不串流</x:v>
      </x:c>
      <x:c r="H42" s="9" t="str">
        <x:v>未执行</x:v>
      </x:c>
      <x:c r="I42" s="12" t="str"/>
    </x:row>
    <x:row r="43" ht="32" customHeight="1">
      <x:c r="A43" s="4" t="str">
        <x:v>NVR-RTSP-3</x:v>
      </x:c>
      <x:c r="B43" s="4" t="str">
        <x:v>NVR-A</x:v>
      </x:c>
      <x:c r="C43" s="4" t="str">
        <x:v>RTSP</x:v>
      </x:c>
      <x:c r="D43" s="4" t="str">
        <x:v>NVR通道3</x:v>
      </x:c>
      <x:c r="E43" s="4" t="str">
        <x:v>编码/主子码流按真实能力</x:v>
      </x:c>
      <x:c r="F43" s="4" t="str">
        <x:v>CAM-002；CAM-007</x:v>
      </x:c>
      <x:c r="G43" s="4" t="str">
        <x:v>四路独立画面/任务/事件；单路故障不串流</x:v>
      </x:c>
      <x:c r="H43" s="4" t="str">
        <x:v>未执行</x:v>
      </x:c>
      <x:c r="I43" s="12" t="str"/>
    </x:row>
    <x:row r="44" ht="32" customHeight="1">
      <x:c r="A44" s="9" t="str">
        <x:v>NVR-RTSP-4</x:v>
      </x:c>
      <x:c r="B44" s="9" t="str">
        <x:v>NVR-A</x:v>
      </x:c>
      <x:c r="C44" s="9" t="str">
        <x:v>RTSP</x:v>
      </x:c>
      <x:c r="D44" s="9" t="str">
        <x:v>NVR通道4</x:v>
      </x:c>
      <x:c r="E44" s="9" t="str">
        <x:v>编码/主子码流按真实能力</x:v>
      </x:c>
      <x:c r="F44" s="9" t="str">
        <x:v>CAM-002；CAM-007</x:v>
      </x:c>
      <x:c r="G44" s="9" t="str">
        <x:v>四路独立画面/任务/事件；单路故障不串流</x:v>
      </x:c>
      <x:c r="H44" s="9" t="str">
        <x:v>未执行</x:v>
      </x:c>
      <x:c r="I44" s="12" t="str"/>
    </x:row>
    <x:row r="45" ht="32" customHeight="1">
      <x:c r="A45" s="4" t="str">
        <x:v>NVR-ONVIF</x:v>
      </x:c>
      <x:c r="B45" s="4" t="str">
        <x:v>NVR-A</x:v>
      </x:c>
      <x:c r="C45" s="4" t="str">
        <x:v>ONVIF</x:v>
      </x:c>
      <x:c r="D45" s="4" t="str">
        <x:v>默认Profile；其他合法Profile按API指定补测</x:v>
      </x:c>
      <x:c r="E45" s="4" t="str">
        <x:v>UI自动选Profile，不虚构手选按钮</x:v>
      </x:c>
      <x:c r="F45" s="4" t="str">
        <x:v>ONVIF-011</x:v>
      </x:c>
      <x:c r="G45" s="4" t="str">
        <x:v>权限/Profile/画面对应；多路能力待实测</x:v>
      </x:c>
      <x:c r="H45" s="4" t="str">
        <x:v>未执行</x:v>
      </x:c>
      <x:c r="I45" s="12" t="str"/>
    </x:row>
    <x:row r="46" ht="32" customHeight="1">
      <x:c r="A46" s="9" t="str">
        <x:v>UNV-GB-NA</x:v>
      </x:c>
      <x:c r="B46" s="9" t="str">
        <x:v>CAM-UNV</x:v>
      </x:c>
      <x:c r="C46" s="9" t="str">
        <x:v>GB28181</x:v>
      </x:c>
      <x:c r="D46" s="9" t="str">
        <x:v>不适用</x:v>
      </x:c>
      <x:c r="E46" s="9" t="str">
        <x:v>用户明确说明该设备不支持GB</x:v>
      </x:c>
      <x:c r="F46" s="9" t="str">
        <x:v>GB-018</x:v>
      </x:c>
      <x:c r="G46" s="9" t="str">
        <x:v>该组合不计通过；CAM-UNV其他协议仍需测试</x:v>
      </x:c>
      <x:c r="H46" s="9" t="str">
        <x:v>不适用</x:v>
      </x:c>
      <x:c r="I46" s="12" t="str">
        <x:v>用户已声明设备能力边界</x:v>
      </x:c>
    </x:row>
  </x:sheetData>
  <x:conditionalFormatting sqref="H5:H46">
    <x:cfRule type="containsText" dxfId="2" priority="1" operator="containsText" text="失败"/>
    <x:cfRule type="containsText" dxfId="3" priority="2" operator="containsText" text="阻塞"/>
  </x:conditionalFormatting>
  <x:dataValidations count="1">
    <x:dataValidation type="list" sqref="H5:H46">
      <x:formula1>"未执行,执行中,通过,失败,阻塞,不适用"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fa384317ba42e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20" topLeftCell="B21" activePane="bottomRigh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7" hidden="0" customWidth="1"/>
    <x:col min="4" max="4" width="86" hidden="0" customWidth="1"/>
    <x:col min="5" max="5" width="26" hidden="0" customWidth="1"/>
    <x:col min="6" max="6" width="42" hidden="0" customWidth="1"/>
    <x:col min="7" max="7" width="35" hidden="0" customWidth="1"/>
  </x:cols>
  <x:sheetData>
    <x:row r="2" ht="29" customHeight="1">
      <x:c r="A2" s="1" t="str">
        <x:v>测试资源定义（实际值由私有配置绑定）</x:v>
      </x:c>
    </x:row>
    <x:row r="4" ht="34" customHeight="1">
      <x:c r="A4" s="16" t="str">
        <x:v>资源编号</x:v>
      </x:c>
      <x:c r="B4" s="16" t="str">
        <x:v>资源名称</x:v>
      </x:c>
      <x:c r="C4" s="16" t="str">
        <x:v>类型</x:v>
      </x:c>
      <x:c r="D4" s="16" t="str">
        <x:v>准备要求</x:v>
      </x:c>
      <x:c r="E4" s="16" t="str">
        <x:v>提供方</x:v>
      </x:c>
      <x:c r="F4" s="16" t="str">
        <x:v>必填字段</x:v>
      </x:c>
      <x:c r="G4" s="16" t="str">
        <x:v>备注</x:v>
      </x:c>
    </x:row>
    <x:row r="5" ht="76" customHeight="1">
      <x:c r="A5" s="4" t="str">
        <x:v>DUT</x:v>
      </x:c>
      <x:c r="B5" s="4" t="str">
        <x:v>被测CosmoEdge</x:v>
      </x:c>
      <x:c r="C5" s="4" t="str">
        <x:v>remote</x:v>
      </x:c>
      <x:c r="D5" s="4" t="str">
        <x:v>设备IP、平台用户名和密码。</x:v>
      </x:c>
      <x:c r="E5" s="4" t="str">
        <x:v>用户/设备管理员</x:v>
      </x:c>
      <x:c r="F5" s="4" t="str">
        <x:v>host；username；password</x:v>
      </x:c>
      <x:c r="G5" s="4" t="str"/>
    </x:row>
    <x:row r="6" ht="76" customHeight="1">
      <x:c r="A6" s="9" t="str">
        <x:v>CAM-HK-A</x:v>
      </x:c>
      <x:c r="B6" s="9" t="str">
        <x:v>海康A</x:v>
      </x:c>
      <x:c r="C6" s="9" t="str">
        <x:v>remote</x:v>
      </x:c>
      <x:c r="D6" s="9" t="str">
        <x:v>设备地址、账户、协议服务及取流权限。</x:v>
      </x:c>
      <x:c r="E6" s="9" t="str">
        <x:v>用户/设备管理员</x:v>
      </x:c>
      <x:c r="F6" s="9" t="str">
        <x:v>host；username；password</x:v>
      </x:c>
      <x:c r="G6" s="9" t="str"/>
    </x:row>
    <x:row r="7" ht="76" customHeight="1">
      <x:c r="A7" s="4" t="str">
        <x:v>CAM-DH</x:v>
      </x:c>
      <x:c r="B7" s="4" t="str">
        <x:v>大华</x:v>
      </x:c>
      <x:c r="C7" s="4" t="str">
        <x:v>remote</x:v>
      </x:c>
      <x:c r="D7" s="4" t="str">
        <x:v>设备地址、账户、协议服务及取流权限。</x:v>
      </x:c>
      <x:c r="E7" s="4" t="str">
        <x:v>用户/设备管理员</x:v>
      </x:c>
      <x:c r="F7" s="4" t="str">
        <x:v>host；username；password</x:v>
      </x:c>
      <x:c r="G7" s="4" t="str"/>
    </x:row>
    <x:row r="8" ht="76" customHeight="1">
      <x:c r="A8" s="9" t="str">
        <x:v>CAM-HK-B</x:v>
      </x:c>
      <x:c r="B8" s="9" t="str">
        <x:v>海康B</x:v>
      </x:c>
      <x:c r="C8" s="9" t="str">
        <x:v>remote</x:v>
      </x:c>
      <x:c r="D8" s="9" t="str">
        <x:v>设备地址、账户、协议服务及取流权限。</x:v>
      </x:c>
      <x:c r="E8" s="9" t="str">
        <x:v>用户/设备管理员</x:v>
      </x:c>
      <x:c r="F8" s="9" t="str">
        <x:v>host；username；password</x:v>
      </x:c>
      <x:c r="G8" s="9" t="str"/>
    </x:row>
    <x:row r="9" ht="76" customHeight="1">
      <x:c r="A9" s="4" t="str">
        <x:v>CAM-UNV</x:v>
      </x:c>
      <x:c r="B9" s="4" t="str">
        <x:v>宇视</x:v>
      </x:c>
      <x:c r="C9" s="4" t="str">
        <x:v>remote</x:v>
      </x:c>
      <x:c r="D9" s="4" t="str">
        <x:v>设备地址、账户、协议服务及取流权限。</x:v>
      </x:c>
      <x:c r="E9" s="4" t="str">
        <x:v>用户/设备管理员</x:v>
      </x:c>
      <x:c r="F9" s="4" t="str">
        <x:v>host；username；password</x:v>
      </x:c>
      <x:c r="G9" s="4" t="str"/>
    </x:row>
    <x:row r="10" ht="76" customHeight="1">
      <x:c r="A10" s="9" t="str">
        <x:v>NVR-A</x:v>
      </x:c>
      <x:c r="B10" s="9" t="str">
        <x:v>NVR四路</x:v>
      </x:c>
      <x:c r="C10" s="9" t="str">
        <x:v>remote</x:v>
      </x:c>
      <x:c r="D10" s="9" t="str">
        <x:v>设备地址、账户、协议服务及取流权限。</x:v>
      </x:c>
      <x:c r="E10" s="9" t="str">
        <x:v>用户/设备管理员</x:v>
      </x:c>
      <x:c r="F10" s="9" t="str">
        <x:v>host；username；password</x:v>
      </x:c>
      <x:c r="G10" s="9" t="str"/>
    </x:row>
    <x:row r="11" ht="76" customHeight="1">
      <x:c r="A11" s="4" t="str">
        <x:v>FACE-ZIP</x:v>
      </x:c>
      <x:c r="B11" s="4" t="str">
        <x:v>人脸入库照片包</x:v>
      </x:c>
      <x:c r="C11" s="4" t="str">
        <x:v>file</x:v>
      </x:c>
      <x:c r="D11" s="4" t="str">
        <x:v>合法人脸照片ZIP。</x:v>
      </x:c>
      <x:c r="E11" s="4" t="str">
        <x:v>用户/设备管理员</x:v>
      </x:c>
      <x:c r="F11" s="4" t="str"/>
      <x:c r="G11" s="4" t="str"/>
    </x:row>
    <x:row r="12" ht="76" customHeight="1">
      <x:c r="A12" s="9" t="str">
        <x:v>FACE-VIDEO</x:v>
      </x:c>
      <x:c r="B12" s="9" t="str">
        <x:v>人脸视频</x:v>
      </x:c>
      <x:c r="C12" s="9" t="str">
        <x:v>file</x:v>
      </x:c>
      <x:c r="D12" s="9" t="str">
        <x:v>可解码的人脸视频。</x:v>
      </x:c>
      <x:c r="E12" s="9" t="str">
        <x:v>用户/设备管理员</x:v>
      </x:c>
      <x:c r="F12" s="9" t="str"/>
      <x:c r="G12" s="9" t="str"/>
    </x:row>
    <x:row r="13" ht="76" customHeight="1">
      <x:c r="A13" s="4" t="str">
        <x:v>UNIFORM-IMAGE</x:v>
      </x:c>
      <x:c r="B13" s="4" t="str">
        <x:v>工服底库图片</x:v>
      </x:c>
      <x:c r="C13" s="4" t="str">
        <x:v>file</x:v>
      </x:c>
      <x:c r="D13" s="4" t="str">
        <x:v>工服底库图片。</x:v>
      </x:c>
      <x:c r="E13" s="4" t="str">
        <x:v>用户/设备管理员</x:v>
      </x:c>
      <x:c r="F13" s="4" t="str"/>
      <x:c r="G13" s="4" t="str"/>
    </x:row>
    <x:row r="14" ht="76" customHeight="1">
      <x:c r="A14" s="9" t="str">
        <x:v>PEOPLE-MEDIA</x:v>
      </x:c>
      <x:c r="B14" s="9" t="str">
        <x:v>行人图片/视频目录</x:v>
      </x:c>
      <x:c r="C14" s="9" t="str">
        <x:v>directory</x:v>
      </x:c>
      <x:c r="D14" s="9" t="str">
        <x:v>现有行人图片与视频目录。</x:v>
      </x:c>
      <x:c r="E14" s="9" t="str">
        <x:v>用户/设备管理员</x:v>
      </x:c>
      <x:c r="F14" s="9" t="str"/>
      <x:c r="G14" s="9" t="str"/>
    </x:row>
    <x:row r="15" ht="76" customHeight="1">
      <x:c r="A15" s="4" t="str">
        <x:v>IMAGE-MEDIA</x:v>
      </x:c>
      <x:c r="B15" s="4" t="str">
        <x:v>图片目录</x:v>
      </x:c>
      <x:c r="C15" s="4" t="str">
        <x:v>directory</x:v>
      </x:c>
      <x:c r="D15" s="4" t="str">
        <x:v>现有图片目录。</x:v>
      </x:c>
      <x:c r="E15" s="4" t="str">
        <x:v>用户/设备管理员</x:v>
      </x:c>
      <x:c r="F15" s="4" t="str"/>
      <x:c r="G15" s="4" t="str"/>
    </x:row>
    <x:row r="16" ht="76" customHeight="1">
      <x:c r="A16" s="9" t="str">
        <x:v>AUDIO-FILE</x:v>
      </x:c>
      <x:c r="B16" s="9" t="str">
        <x:v>短测试音频</x:v>
      </x:c>
      <x:c r="C16" s="9" t="str">
        <x:v>file</x:v>
      </x:c>
      <x:c r="D16" s="9" t="str">
        <x:v>Codex生成1秒PCM WAV，记录格式与时长。</x:v>
      </x:c>
      <x:c r="E16" s="9" t="str">
        <x:v>Codex可生成</x:v>
      </x:c>
      <x:c r="F16" s="9" t="str"/>
      <x:c r="G16" s="9" t="str"/>
    </x:row>
    <x:row r="17" ht="76" customHeight="1">
      <x:c r="A17" s="4" t="str">
        <x:v>PRECISION-SERVER</x:v>
      </x:c>
      <x:c r="B17" s="4" t="str">
        <x:v>精度服务器与脚本</x:v>
      </x:c>
      <x:c r="C17" s="4" t="str">
        <x:v>remote</x:v>
      </x:c>
      <x:c r="D17" s="4" t="str">
        <x:v>SSH地址、登录方式、脚本和样本根路径。</x:v>
      </x:c>
      <x:c r="E17" s="4" t="str">
        <x:v>用户/设备管理员</x:v>
      </x:c>
      <x:c r="F17" s="4" t="str">
        <x:v>host；username；password；script；sampleRoot</x:v>
      </x:c>
      <x:c r="G17" s="4" t="str"/>
    </x:row>
    <x:row r="18" ht="76" customHeight="1">
      <x:c r="A18" s="4" t="str">
        <x:v>GB-SETTINGS</x:v>
      </x:c>
      <x:c r="B18" s="4" t="str">
        <x:v>国标注册与目录配置</x:v>
      </x:c>
      <x:c r="C18" s="4" t="str">
        <x:v>configuration</x:v>
      </x:c>
      <x:c r="D18" s="4" t="str">
        <x:v>SIP监听端口、realm、认证ID/SIP密码；提供可注册的NVR及四通道与画面映射。注册参数由Codex读取。</x:v>
      </x:c>
      <x:c r="E18" s="4" t="str">
        <x:v>用户/设备管理员</x:v>
      </x:c>
      <x:c r="F18" s="4" t="str"/>
      <x:c r="G18" s="4" t="str"/>
    </x:row>
    <x:row r="19" ht="76" customHeight="1">
      <x:c r="A19" s="4" t="str">
        <x:v>ONVIF-SETTINGS</x:v>
      </x:c>
      <x:c r="B19" s="4" t="str">
        <x:v>ONVIF独立账户/服务</x:v>
      </x:c>
      <x:c r="C19" s="4" t="str">
        <x:v>configuration</x:v>
      </x:c>
      <x:c r="D19" s="4" t="str">
        <x:v>有效ONVIF账户与权限；NVR的ONVIF服务、端口和可查询Profile。无需重复提供已接通设备。</x:v>
      </x:c>
      <x:c r="E19" s="4" t="str">
        <x:v>用户/设备管理员</x:v>
      </x:c>
      <x:c r="F19" s="4" t="str"/>
      <x:c r="G19" s="4" t="str"/>
    </x:row>
    <x:row r="20" ht="76" customHeight="1">
      <x:c r="A20" s="22" t="str">
        <x:v>UPGRADE-PACKAGE</x:v>
      </x:c>
      <x:c r="B20" s="22" t="str">
        <x:v>候选升级包</x:v>
      </x:c>
      <x:c r="C20" s="22" t="str">
        <x:v>file</x:v>
      </x:c>
      <x:c r="D20" s="22" t="str">
        <x:v>目标芯片兼容升级包、版本与SHA-256、迁移说明。</x:v>
      </x:c>
      <x:c r="E20" s="22" t="str">
        <x:v>用户/设备管理员</x:v>
      </x:c>
      <x:c r="F20" s="22" t="str"/>
      <x:c r="G20" s="22" t="str"/>
    </x:row>
    <x:row r="21" ht="76" customHeight="1">
      <x:c r="A21" s="4" t="str">
        <x:v>ROLLBACK-PACKAGE</x:v>
      </x:c>
      <x:c r="B21" s="4" t="str">
        <x:v>原版本/回退包</x:v>
      </x:c>
      <x:c r="C21" s="4" t="str">
        <x:v>file</x:v>
      </x:c>
      <x:c r="D21" s="4" t="str">
        <x:v>可回退的当前版本包及校验值。</x:v>
      </x:c>
      <x:c r="E21" s="4" t="str">
        <x:v>用户/设备管理员</x:v>
      </x:c>
      <x:c r="F21" s="4" t="str"/>
      <x:c r="G21" s="12" t="str"/>
    </x:row>
    <x:row r="22" ht="76" customHeight="1">
      <x:c r="A22" s="9" t="str">
        <x:v>RECOVERY-KIT</x:v>
      </x:c>
      <x:c r="B22" s="9" t="str">
        <x:v>恢复与故障注入环境</x:v>
      </x:c>
      <x:c r="C22" s="9" t="str">
        <x:v>configuration</x:v>
      </x:c>
      <x:c r="D22" s="9" t="str">
        <x:v>可恢复专用测试机、配置备份、备用网口/串口、重刷说明；断电试验还需可控电源/现场人员。明确可影响范围和时间窗口。</x:v>
      </x:c>
      <x:c r="E22" s="9" t="str">
        <x:v>用户/设备管理员</x:v>
      </x:c>
      <x:c r="F22" s="9" t="str"/>
      <x:c r="G22" s="12" t="str"/>
    </x:row>
    <x:row r="23" ht="76" customHeight="1">
      <x:c r="A23" s="4" t="str">
        <x:v>MODEL-PACKAGES</x:v>
      </x:c>
      <x:c r="B23" s="4" t="str">
        <x:v>有效模型包与依赖</x:v>
      </x:c>
      <x:c r="C23" s="4" t="str">
        <x:v>directory</x:v>
      </x:c>
      <x:c r="D23" s="4" t="str">
        <x:v>目标芯片兼容Open模型包；补齐缺失依赖；DINO/SAM/OCR/VLM配套模型按适用功能提供。</x:v>
      </x:c>
      <x:c r="E23" s="4" t="str">
        <x:v>用户/设备管理员</x:v>
      </x:c>
      <x:c r="F23" s="4" t="str"/>
      <x:c r="G23" s="12" t="str"/>
    </x:row>
    <x:row r="24" ht="76" customHeight="1">
      <x:c r="A24" s="9" t="str">
        <x:v>PROTECTED-ASSETS</x:v>
      </x:c>
      <x:c r="B24" s="9" t="str">
        <x:v>Protected模型验收资料</x:v>
      </x:c>
      <x:c r="C24" s="9" t="str">
        <x:v>directory</x:v>
      </x:c>
      <x:c r="D24" s="9" t="str">
        <x:v>仅适用Protected模式：证书、授权模型包、授权/失效测试身份；若当前版本不支持，提供依据后记不适用。</x:v>
      </x:c>
      <x:c r="E24" s="9" t="str">
        <x:v>用户/设备管理员</x:v>
      </x:c>
      <x:c r="F24" s="9" t="str"/>
      <x:c r="G24" s="12" t="str"/>
    </x:row>
    <x:row r="25" ht="76" customHeight="1">
      <x:c r="A25" s="4" t="str">
        <x:v>FACE-TRUTH</x:v>
      </x:c>
      <x:c r="B25" s="4" t="str">
        <x:v>人脸身份真值</x:v>
      </x:c>
      <x:c r="C25" s="4" t="str">
        <x:v>file</x:v>
      </x:c>
      <x:c r="D25" s="4" t="str">
        <x:v>照片匿名ID映射、独立同人/陌生人照片、count_indoor时间段到人物ID的标注。</x:v>
      </x:c>
      <x:c r="E25" s="4" t="str">
        <x:v>用户/设备管理员</x:v>
      </x:c>
      <x:c r="F25" s="4" t="str"/>
      <x:c r="G25" s="12" t="str"/>
    </x:row>
    <x:row r="26" ht="76" customHeight="1">
      <x:c r="A26" s="9" t="str">
        <x:v>UNIFORM-TRUTH</x:v>
      </x:c>
      <x:c r="B26" s="9" t="str">
        <x:v>工服穿着真值</x:v>
      </x:c>
      <x:c r="C26" s="9" t="str">
        <x:v>file</x:v>
      </x:c>
      <x:c r="D26" s="9" t="str">
        <x:v>穿/未穿、同服异人、异服同人、遮挡与不同光照样本及逐素材标签。</x:v>
      </x:c>
      <x:c r="E26" s="9" t="str">
        <x:v>用户/设备管理员</x:v>
      </x:c>
      <x:c r="F26" s="9" t="str"/>
      <x:c r="G26" s="12" t="str"/>
    </x:row>
    <x:row r="27" ht="76" customHeight="1">
      <x:c r="A27" s="4" t="str">
        <x:v>SCENARIO-TRUTH</x:v>
      </x:c>
      <x:c r="B27" s="4" t="str">
        <x:v>全算法/ROI场景标注</x:v>
      </x:c>
      <x:c r="C27" s="4" t="str">
        <x:v>file</x:v>
      </x:c>
      <x:c r="D27" s="4" t="str">
        <x:v>补齐现有精度集外的区域入侵、聚集、人数/车辆统计、离岗、反光衣、跨线、睡岗、车牌等正负/困难样本；VLM需正例；违停需负例；区域/时间/计数真值。可用统一标注索引。</x:v>
      </x:c>
      <x:c r="E27" s="4" t="str">
        <x:v>用户/设备管理员</x:v>
      </x:c>
      <x:c r="F27" s="4" t="str"/>
      <x:c r="G27" s="12" t="str"/>
    </x:row>
    <x:row r="28" ht="76" customHeight="1">
      <x:c r="A28" s="9" t="str">
        <x:v>ACCEPTANCE</x:v>
      </x:c>
      <x:c r="B28" s="9" t="str">
        <x:v>业务验收门槛</x:v>
      </x:c>
      <x:c r="C28" s="9" t="str">
        <x:v>configuration</x:v>
      </x:c>
      <x:c r="D28" s="9" t="str">
        <x:v>各算法正检/误报/错认门槛、并发路数、FPS、延迟P95、24小时稳定性、恢复时限和允许丢失量。</x:v>
      </x:c>
      <x:c r="E28" s="9" t="str">
        <x:v>用户/设备管理员</x:v>
      </x:c>
      <x:c r="F28" s="9" t="str"/>
      <x:c r="G28" s="12" t="str"/>
    </x:row>
    <x:row r="29" ht="76" customHeight="1">
      <x:c r="A29" s="4" t="str">
        <x:v>HTTP-RECEIVER</x:v>
      </x:c>
      <x:c r="B29" s="4" t="str">
        <x:v>HTTP测试接收端</x:v>
      </x:c>
      <x:c r="C29" s="4" t="str">
        <x:v>remote</x:v>
      </x:c>
      <x:c r="D29" s="4" t="str">
        <x:v>可记录成功/失败/超时的隔离HTTP接收端。可复用已有测试服务器，需确认接收敏感告警的具体目的地和数据范围。</x:v>
      </x:c>
      <x:c r="E29" s="4" t="str">
        <x:v>用户/设备管理员</x:v>
      </x:c>
      <x:c r="F29" s="4" t="str"/>
      <x:c r="G29" s="12" t="str"/>
    </x:row>
    <x:row r="30" ht="76" customHeight="1">
      <x:c r="A30" s="9" t="str">
        <x:v>MQTT-BROKER</x:v>
      </x:c>
      <x:c r="B30" s="9" t="str">
        <x:v>MQTT测试Broker</x:v>
      </x:c>
      <x:c r="C30" s="9" t="str">
        <x:v>remote</x:v>
      </x:c>
      <x:c r="D30" s="9" t="str">
        <x:v>Broker地址、端口、认证、Topic与订阅观测方式，允许断连/恢复的隔离环境。</x:v>
      </x:c>
      <x:c r="E30" s="9" t="str">
        <x:v>用户/设备管理员</x:v>
      </x:c>
      <x:c r="F30" s="9" t="str"/>
      <x:c r="G30" s="12" t="str"/>
    </x:row>
    <x:row r="31" ht="76" customHeight="1">
      <x:c r="A31" s="4" t="str">
        <x:v>PUSH-AUTHORIZATION</x:v>
      </x:c>
      <x:c r="B31" s="4" t="str">
        <x:v>告警传输范围确认</x:v>
      </x:c>
      <x:c r="C31" s="4" t="str">
        <x:v>authorization</x:v>
      </x:c>
      <x:c r="D31" s="4" t="str">
        <x:v>确认允许将测试告警图片和人员信息发送到指定HTTP/MQTT测试目的地。已有明确授权可复用，不重复询问。</x:v>
      </x:c>
      <x:c r="E31" s="4" t="str">
        <x:v>用户/设备管理员</x:v>
      </x:c>
      <x:c r="F31" s="4" t="str"/>
      <x:c r="G31" s="12" t="str"/>
    </x:row>
    <x:row r="32" ht="76" customHeight="1">
      <x:c r="A32" s="9" t="str">
        <x:v>AUDIO-HARDWARE</x:v>
      </x:c>
      <x:c r="B32" s="9" t="str">
        <x:v>网络音柱与声音观察</x:v>
      </x:c>
      <x:c r="C32" s="9" t="str">
        <x:v>remote</x:v>
      </x:c>
      <x:c r="D32" s="9" t="str">
        <x:v>支持的真实网络音柱、协议/地址/账号，以及现场可听确认或录音反馈。</x:v>
      </x:c>
      <x:c r="E32" s="9" t="str">
        <x:v>用户/设备管理员</x:v>
      </x:c>
      <x:c r="F32" s="9" t="str"/>
      <x:c r="G32" s="12" t="str"/>
    </x:row>
    <x:row r="33" ht="76" customHeight="1">
      <x:c r="A33" s="4" t="str">
        <x:v>USB-CAMERA</x:v>
      </x:c>
      <x:c r="B33" s="4" t="str">
        <x:v>USB摄像头</x:v>
      </x:c>
      <x:c r="C33" s="4" t="str">
        <x:v>hardware</x:v>
      </x:c>
      <x:c r="D33" s="4" t="str">
        <x:v>必测硬件：将受支持USB摄像头接在被测设备上，核对枚举、设备标识与实时画面。资源就绪状态记入私有配置，不沿用旧缺口跳过。</x:v>
      </x:c>
      <x:c r="E33" s="4" t="str">
        <x:v>用户/设备管理员</x:v>
      </x:c>
      <x:c r="F33" s="4" t="str"/>
      <x:c r="G33" s="12" t="str"/>
    </x:row>
    <x:row r="34" ht="76" customHeight="1">
      <x:c r="A34" s="9" t="str">
        <x:v>OTHER-TARGETS</x:v>
      </x:c>
      <x:c r="B34" s="9" t="str">
        <x:v>跨平台/浏览器环境</x:v>
      </x:c>
      <x:c r="C34" s="9" t="str">
        <x:v>configuration</x:v>
      </x:c>
      <x:c r="D34" s="9" t="str">
        <x:v>仅用于跨平台回归：目标芯片/浏览器实机及其安装包；当前设备不能代表其他芯片。</x:v>
      </x:c>
      <x:c r="E34" s="9" t="str">
        <x:v>用户/设备管理员</x:v>
      </x:c>
      <x:c r="F34" s="9" t="str"/>
      <x:c r="G34" s="12" t="str"/>
    </x:row>
    <x:row r="35" ht="76" customHeight="1">
      <x:c r="A35" s="4" t="str">
        <x:v>ACCOUNT-HANDOFF</x:v>
      </x:c>
      <x:c r="B35" s="4" t="str">
        <x:v>修改凭据的用户接管</x:v>
      </x:c>
      <x:c r="C35" s="4" t="str">
        <x:v>authorization</x:v>
      </x:c>
      <x:c r="D35" s="4" t="str">
        <x:v>浏览器修改密码需用户接管输入和提交；已有平台凭据可用于普通登录，无需此项。</x:v>
      </x:c>
      <x:c r="E35" s="4" t="str">
        <x:v>用户/设备管理员</x:v>
      </x:c>
      <x:c r="F35" s="4" t="str"/>
      <x:c r="G35" s="4" t="str"/>
    </x:row>
    <x:row r="36" ht="76" customHeight="1">
      <x:c r="A36" s="4" t="str">
        <x:v>GENERATED-FIXTURES</x:v>
      </x:c>
      <x:c r="B36" s="4" t="str">
        <x:v>边界与异常测试素材</x:v>
      </x:c>
      <x:c r="C36" s="4" t="str">
        <x:v>generated</x:v>
      </x:c>
      <x:c r="D36" s="4" t="str">
        <x:v>Codex在私有目录生成空文件、坏图/坏ZIP、长文件名、短音频、已知结构夹具；不要求用户准备。</x:v>
      </x:c>
      <x:c r="E36" s="4" t="str">
        <x:v>Codex可生成</x:v>
      </x:c>
      <x:c r="F36" s="4" t="str"/>
      <x:c r="G36" s="4" t="str"/>
    </x:row>
    <x:row r="37" ht="76" customHeight="1">
      <x:c r="A37" s="4" t="str">
        <x:v>MODEL-INVENTORY</x:v>
      </x:c>
      <x:c r="B37" s="4" t="str">
        <x:v>运行版本模型与模板盘点</x:v>
      </x:c>
      <x:c r="C37" s="4" t="str">
        <x:v>discovered</x:v>
      </x:c>
      <x:c r="D37" s="4" t="str">
        <x:v>Codex读取实际版本、模板、模型、缺失依赖与能力，不沿用上次ID。</x:v>
      </x:c>
      <x:c r="E37" s="4" t="str">
        <x:v>Codex运行前盘点</x:v>
      </x:c>
      <x:c r="F37" s="4" t="str"/>
      <x:c r="G37" s="4" t="str"/>
    </x:row>
    <x:row r="38" ht="70.5" customHeight="1">
      <x:c r="A38" s="4" t="str">
        <x:v>OPENAI-VLM</x:v>
      </x:c>
      <x:c r="B38" s="4" t="str">
        <x:v>OpenAI兼容多模态审核服务</x:v>
      </x:c>
      <x:c r="C38" s="4" t="str">
        <x:v>network</x:v>
      </x:c>
      <x:c r="D38" s="4" t="str">
        <x:v>可用的多模态chat/completions服务；核对/v1基地址、实际served-model-name、认证及图像输入。地址、API Key、并发限制只放私有配置。</x:v>
      </x:c>
      <x:c r="E38" s="4" t="str">
        <x:v>用户/服务维护者</x:v>
      </x:c>
      <x:c r="F38" s="4" t="str">
        <x:v>baseUrl；model；apiKey</x:v>
      </x:c>
      <x:c r="G38" s="12" t="str">
        <x:v>为事件上报审核的接口模式单独预检；不以普通文本或TCP连通代替图像请求通过。</x:v>
      </x:c>
    </x:row>
    <x:row r="39" ht="70.5" customHeight="1">
      <x:c r="A39" s="4" t="str">
        <x:v>VLM-MODEL</x:v>
      </x:c>
      <x:c r="B39" s="4" t="str">
        <x:v>视觉语言大模型运行资源</x:v>
      </x:c>
      <x:c r="C39" s="4" t="str">
        <x:v>hardware</x:v>
      </x:c>
      <x:c r="D39" s="4" t="str">
        <x:v>目标芯片可运行的 VLM 模型包、分词器及设备加载结果；原始 bmodel 不等于可导入模型。</x:v>
      </x:c>
      <x:c r="E39" s="4" t="str">
        <x:v>测试执行者/模型提供方</x:v>
      </x:c>
      <x:c r="F39" s="4"/>
      <x:c r="G39" s="12" t="str">
        <x:v>仅本地模型审核依赖此项；OpenAI接口模式独立检查OPENAI-VLM。</x:v>
      </x:c>
    </x:row>
  </x:sheetData>
  <x:pageMargins left="0.7" right="0.7" top="0.75" bottom="0.75" header="0.3" footer="0.3"/>
  <x:tableParts count="1">
    <x:tablePart xmlns:r="http://schemas.openxmlformats.org/officeDocument/2006/relationships" r:id="R13d7efee2bc2468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55" hidden="0" customWidth="1"/>
    <x:col min="2" max="2" width="26" hidden="0" customWidth="1"/>
    <x:col min="3" max="3" width="100" hidden="0" customWidth="1"/>
    <x:col min="4" max="4" width="55" hidden="0" customWidth="1"/>
    <x:col min="5" max="5" width="90" hidden="0" customWidth="1"/>
    <x:col min="6" max="6" width="15" hidden="0" customWidth="1"/>
  </x:cols>
  <x:sheetData>
    <x:row r="2" ht="29" customHeight="1">
      <x:c r="A2" s="1" t="str">
        <x:v>功能覆盖参考（操作和预期维护在详细用例）</x:v>
      </x:c>
    </x:row>
    <x:row r="4" ht="34" customHeight="1">
      <x:c r="A4" s="8" t="str">
        <x:v>入口或功能</x:v>
      </x:c>
      <x:c r="B4" s="8" t="str">
        <x:v>模块</x:v>
      </x:c>
      <x:c r="C4" s="8" t="str">
        <x:v>关联用例</x:v>
      </x:c>
      <x:c r="D4" s="8" t="str">
        <x:v>适用条件</x:v>
      </x:c>
      <x:c r="E4" s="8" t="str">
        <x:v>源码依据</x:v>
      </x:c>
      <x:c r="F4" s="8" t="str">
        <x:v>执行状态</x:v>
      </x:c>
    </x:row>
    <x:row r="5" ht="32" customHeight="1">
      <x:c r="A5" s="4" t="str">
        <x:v>/boxLogin</x:v>
      </x:c>
      <x:c r="B5" s="4" t="str">
        <x:v>AUTH</x:v>
      </x:c>
      <x:c r="C5" s="4" t="str">
        <x:v>AUTH-001、AUTH-002、AUTH-003、AUTH-004、AUTH-005、AUTH-006、AUTH-007、AUTH-008</x:v>
      </x:c>
      <x:c r="D5" s="4" t="str">
        <x:v>按目标runMode及能力</x:v>
      </x:c>
      <x:c r="E5" s="4" t="str">
        <x:v>src/web/src/router/index.js；src/web/src/views/main/menu.js</x:v>
      </x:c>
      <x:c r="F5" s="4" t="str">
        <x:v>未执行</x:v>
      </x:c>
    </x:row>
    <x:row r="6" ht="32" customHeight="1">
      <x:c r="A6" s="9" t="str">
        <x:v>/bigScreen/warnningScreen</x:v>
      </x:c>
      <x:c r="B6" s="9" t="str">
        <x:v>LIVE</x:v>
      </x:c>
      <x:c r="C6" s="9" t="str">
        <x:v>LIVE-001、LIVE-002、LIVE-003、LIVE-004、LIVE-005、LIVE-006、LIVE-007</x:v>
      </x:c>
      <x:c r="D6" s="9" t="str">
        <x:v>按目标runMode及能力</x:v>
      </x:c>
      <x:c r="E6" s="9" t="str">
        <x:v>src/web/src/router/index.js；src/web/src/views/main/menu.js</x:v>
      </x:c>
      <x:c r="F6" s="9" t="str">
        <x:v>未执行</x:v>
      </x:c>
    </x:row>
    <x:row r="7" ht="32" customHeight="1">
      <x:c r="A7" s="4" t="str">
        <x:v>/</x:v>
      </x:c>
      <x:c r="B7" s="4" t="str">
        <x:v>HOME</x:v>
      </x:c>
      <x:c r="C7" s="4" t="str">
        <x:v>HOME-001、HOME-002、HOME-003、HOME-004、HOME-005、HOME-006</x:v>
      </x:c>
      <x:c r="D7" s="4" t="str">
        <x:v>路由容器/重定向</x:v>
      </x:c>
      <x:c r="E7" s="4" t="str">
        <x:v>src/web/src/router/index.js；src/web/src/views/main/menu.js</x:v>
      </x:c>
      <x:c r="F7" s="4" t="str">
        <x:v>未执行</x:v>
      </x:c>
    </x:row>
    <x:row r="8" ht="32" customHeight="1">
      <x:c r="A8" s="9" t="str">
        <x:v>/home</x:v>
      </x:c>
      <x:c r="B8" s="9" t="str">
        <x:v>HOME</x:v>
      </x:c>
      <x:c r="C8" s="9" t="str">
        <x:v>HOME-001、HOME-002、HOME-003、HOME-004、HOME-005、HOME-006</x:v>
      </x:c>
      <x:c r="D8" s="9" t="str">
        <x:v>按目标runMode及能力</x:v>
      </x:c>
      <x:c r="E8" s="9" t="str">
        <x:v>src/web/src/router/index.js；src/web/src/views/main/menu.js</x:v>
      </x:c>
      <x:c r="F8" s="9" t="str">
        <x:v>未执行</x:v>
      </x:c>
    </x:row>
    <x:row r="9" ht="40" customHeight="1">
      <x:c r="A9" s="4" t="str">
        <x:v>/imageAnalysis</x:v>
      </x:c>
      <x:c r="B9" s="4" t="str">
        <x:v>IMAGE</x:v>
      </x:c>
      <x:c r="C9" s="4" t="str">
        <x:v>IMAGE-001、IMAGE-002、IMAGE-003、IMAGE-004、IMAGE-005、IMAGE-006、IMAGE-007、IMAGE-008、IMAGE-009、IMAGE-010、IMAGE-011、IMAGE-012、IMAGE-013</x:v>
      </x:c>
      <x:c r="D9" s="4" t="str">
        <x:v>按目标runMode及能力</x:v>
      </x:c>
      <x:c r="E9" s="4" t="str">
        <x:v>src/web/src/router/index.js；src/web/src/views/main/menu.js</x:v>
      </x:c>
      <x:c r="F9" s="4" t="str">
        <x:v>未执行</x:v>
      </x:c>
    </x:row>
    <x:row r="10" ht="40" customHeight="1">
      <x:c r="A10" s="9" t="str">
        <x:v>/eventQuery/alarmRecord</x:v>
      </x:c>
      <x:c r="B10" s="9" t="str">
        <x:v>EVENT</x:v>
      </x:c>
      <x:c r="C10" s="9" t="str">
        <x:v>EVENT-001、EVENT-002、EVENT-003、EVENT-004、EVENT-005、EVENT-006、EVENT-007、EVENT-008、EVENT-009、EVENT-010、EVENT-011、EVENT-012、EVENT-013、EVENT-014</x:v>
      </x:c>
      <x:c r="D10" s="9" t="str">
        <x:v>按目标runMode及能力</x:v>
      </x:c>
      <x:c r="E10" s="9" t="str">
        <x:v>src/web/src/router/index.js；src/web/src/views/main/menu.js</x:v>
      </x:c>
      <x:c r="F10" s="9" t="str">
        <x:v>未执行</x:v>
      </x:c>
    </x:row>
    <x:row r="11" ht="55" customHeight="1">
      <x:c r="A11" s="4" t="str">
        <x:v>/eventQuery/faceBody</x:v>
      </x:c>
      <x:c r="B11" s="4" t="str">
        <x:v>FACE/EVENT</x:v>
      </x:c>
      <x:c r="C11" s="4" t="str">
        <x:v>FACE-001、FACE-002、FACE-003、FACE-004、FACE-005、FACE-006、FACE-007、FACE-008、FACE-009、FACE-010、FACE-011、FACE-012、FACE-013；EVENT-001、EVENT-002、EVENT-003、EVENT-004、EVENT-005、EVENT-006、EVENT-007、EVENT-008、EVENT-009、EVENT-010、EVENT-011</x:v>
      </x:c>
      <x:c r="D11" s="4" t="str">
        <x:v>按目标runMode及能力</x:v>
      </x:c>
      <x:c r="E11" s="4" t="str">
        <x:v>src/web/src/router/index.js；src/web/src/views/main/menu.js</x:v>
      </x:c>
      <x:c r="F11" s="4" t="str">
        <x:v>未执行</x:v>
      </x:c>
    </x:row>
    <x:row r="12" ht="40" customHeight="1">
      <x:c r="A12" s="9" t="str">
        <x:v>/eventQuery/carStatistics</x:v>
      </x:c>
      <x:c r="B12" s="9" t="str">
        <x:v>EVENT</x:v>
      </x:c>
      <x:c r="C12" s="9" t="str">
        <x:v>EVENT-001、EVENT-002、EVENT-003、EVENT-004、EVENT-005、EVENT-006、EVENT-007、EVENT-008、EVENT-009、EVENT-010、EVENT-011、EVENT-012、EVENT-013、EVENT-014</x:v>
      </x:c>
      <x:c r="D12" s="9" t="str">
        <x:v>按目标runMode及能力</x:v>
      </x:c>
      <x:c r="E12" s="9" t="str">
        <x:v>src/web/src/router/index.js；src/web/src/views/main/menu.js</x:v>
      </x:c>
      <x:c r="F12" s="9" t="str">
        <x:v>未执行</x:v>
      </x:c>
    </x:row>
    <x:row r="13" ht="40" customHeight="1">
      <x:c r="A13" s="4" t="str">
        <x:v>/eventQuery/trafficStatistics</x:v>
      </x:c>
      <x:c r="B13" s="4" t="str">
        <x:v>EVENT</x:v>
      </x:c>
      <x:c r="C13" s="4" t="str">
        <x:v>EVENT-001、EVENT-002、EVENT-003、EVENT-004、EVENT-005、EVENT-006、EVENT-007、EVENT-008、EVENT-009、EVENT-010、EVENT-011、EVENT-012、EVENT-013、EVENT-014</x:v>
      </x:c>
      <x:c r="D13" s="4" t="str">
        <x:v>按目标runMode及能力</x:v>
      </x:c>
      <x:c r="E13" s="4" t="str">
        <x:v>src/web/src/router/index.js；src/web/src/views/main/menu.js</x:v>
      </x:c>
      <x:c r="F13" s="4" t="str">
        <x:v>未执行</x:v>
      </x:c>
    </x:row>
    <x:row r="14" ht="55" customHeight="1">
      <x:c r="A14" s="9" t="str">
        <x:v>/gam/taskManager/taskmanagement</x:v>
      </x:c>
      <x:c r="B14" s="9" t="str">
        <x:v>CAM/TASK</x:v>
      </x:c>
      <x:c r="C14" s="9" t="str">
        <x:v>CAM-001、CAM-002、CAM-003、CAM-004、CAM-005、CAM-006、CAM-007、CAM-008、CAM-009、CAM-010、CAM-011、CAM-012；TASK-001、TASK-002、TASK-003、TASK-004、TASK-005、TASK-006、TASK-007、TASK-008、TASK-009、TASK-010、TASK-011、TASK-012、TASK-013、TASK-014、TASK-015、TASK-016</x:v>
      </x:c>
      <x:c r="D14" s="9" t="str">
        <x:v>兼容旧路由</x:v>
      </x:c>
      <x:c r="E14" s="9" t="str">
        <x:v>src/web/src/router/index.js；src/web/src/views/main/menu.js</x:v>
      </x:c>
      <x:c r="F14" s="9" t="str">
        <x:v>未执行</x:v>
      </x:c>
    </x:row>
    <x:row r="15" ht="85" customHeight="1">
      <x:c r="A15" s="4" t="str">
        <x:v>/videoAccess</x:v>
      </x:c>
      <x:c r="B15" s="4" t="str">
        <x:v>CAM/ONVIF/GB/SCH</x:v>
      </x:c>
      <x:c r="C15" s="4" t="str">
        <x:v>CAM-001、CAM-002、CAM-003、CAM-004、CAM-005、CAM-006、CAM-007、CAM-008、CAM-009、CAM-010、CAM-011、CAM-012；ONVIF-001、ONVIF-002、ONVIF-003、ONVIF-004、ONVIF-005、ONVIF-006、ONVIF-007、ONVIF-008、ONVIF-009、ONVIF-010、ONVIF-011；GB-001、GB-002、GB-003、GB-004、GB-005、GB-006、GB-007、GB-008、GB-009、GB-010、GB-011、GB-012、GB-013、GB-014、GB-015、GB-016、GB-017、GB-018；SCH-001、SCH-002、SCH-003、SCH-004、SCH-005、SCH-006</x:v>
      </x:c>
      <x:c r="D15" s="4" t="str">
        <x:v>按目标runMode及能力</x:v>
      </x:c>
      <x:c r="E15" s="4" t="str">
        <x:v>src/web/src/router/index.js；src/web/src/views/main/menu.js</x:v>
      </x:c>
      <x:c r="F15" s="4" t="str">
        <x:v>未执行</x:v>
      </x:c>
    </x:row>
    <x:row r="16" ht="55" customHeight="1">
      <x:c r="A16" s="9" t="str">
        <x:v>/gam/taskManager/realEditingTask</x:v>
      </x:c>
      <x:c r="B16" s="9" t="str">
        <x:v>TASK/ROI</x:v>
      </x:c>
      <x:c r="C16" s="9" t="str">
        <x:v>TASK-001、TASK-002、TASK-003、TASK-004、TASK-005、TASK-006、TASK-007、TASK-008、TASK-009、TASK-010、TASK-011、TASK-012、TASK-013、TASK-014、TASK-015、TASK-016；ROI-001、ROI-002、ROI-003、ROI-004、ROI-005、ROI-006、ROI-007、ROI-008、ROI-009、ROI-010</x:v>
      </x:c>
      <x:c r="D16" s="9" t="str">
        <x:v>按目标runMode及能力</x:v>
      </x:c>
      <x:c r="E16" s="9" t="str">
        <x:v>src/web/src/router/index.js；src/web/src/views/main/menu.js</x:v>
      </x:c>
      <x:c r="F16" s="9" t="str">
        <x:v>未执行</x:v>
      </x:c>
    </x:row>
    <x:row r="17" ht="32" customHeight="1">
      <x:c r="A17" s="4" t="str">
        <x:v>/dataDocking/index</x:v>
      </x:c>
      <x:c r="B17" s="4" t="str">
        <x:v>PUSH</x:v>
      </x:c>
      <x:c r="C17" s="4" t="str">
        <x:v>PUSH-001、PUSH-002、PUSH-003、PUSH-004、PUSH-005、PUSH-006、PUSH-007、PUSH-008、PUSH-009</x:v>
      </x:c>
      <x:c r="D17" s="4" t="str">
        <x:v>按目标runMode及能力</x:v>
      </x:c>
      <x:c r="E17" s="4" t="str">
        <x:v>src/web/src/router/index.js；src/web/src/views/main/menu.js</x:v>
      </x:c>
      <x:c r="F17" s="4" t="str">
        <x:v>未执行</x:v>
      </x:c>
    </x:row>
    <x:row r="18" ht="32" customHeight="1">
      <x:c r="A18" s="9" t="str">
        <x:v>/gam/countManagement</x:v>
      </x:c>
      <x:c r="B18" s="9" t="str">
        <x:v>SCENE</x:v>
      </x:c>
      <x:c r="C18" s="9" t="str">
        <x:v>SCENE-001、SCENE-002、SCENE-003、SCENE-004、SCENE-005、SCENE-006、SCENE-007、SCENE-008、SCENE-009</x:v>
      </x:c>
      <x:c r="D18" s="9" t="str">
        <x:v>按目标runMode及能力</x:v>
      </x:c>
      <x:c r="E18" s="9" t="str">
        <x:v>src/web/src/router/index.js；src/web/src/views/main/menu.js</x:v>
      </x:c>
      <x:c r="F18" s="9" t="str">
        <x:v>未执行</x:v>
      </x:c>
    </x:row>
    <x:row r="19" ht="40" customHeight="1">
      <x:c r="A19" s="4" t="str">
        <x:v>/gam/atomicModel</x:v>
      </x:c>
      <x:c r="B19" s="4" t="str">
        <x:v>MODEL</x:v>
      </x:c>
      <x:c r="C19" s="4" t="str">
        <x:v>MODEL-001、MODEL-002、MODEL-003、MODEL-004、MODEL-005、MODEL-006、MODEL-007、MODEL-008、MODEL-009、MODEL-010、MODEL-011</x:v>
      </x:c>
      <x:c r="D19" s="4" t="str">
        <x:v>按目标runMode及能力</x:v>
      </x:c>
      <x:c r="E19" s="4" t="str">
        <x:v>src/web/src/router/index.js；src/web/src/views/main/menu.js</x:v>
      </x:c>
      <x:c r="F19" s="4" t="str">
        <x:v>未执行</x:v>
      </x:c>
    </x:row>
    <x:row r="20" ht="40" customHeight="1">
      <x:c r="A20" s="9" t="str">
        <x:v>/gam/arrangeDetail</x:v>
      </x:c>
      <x:c r="B20" s="9" t="str">
        <x:v>FLOW</x:v>
      </x:c>
      <x:c r="C20" s="9" t="str">
        <x:v>FLOW-001、FLOW-002、FLOW-003、FLOW-004、FLOW-005、FLOW-006、FLOW-007、FLOW-008、FLOW-009、FLOW-010、FLOW-011、FLOW-012</x:v>
      </x:c>
      <x:c r="D20" s="9" t="str">
        <x:v>按目标runMode及能力</x:v>
      </x:c>
      <x:c r="E20" s="9" t="str">
        <x:v>src/web/src/router/index.js；src/web/src/views/main/menu.js</x:v>
      </x:c>
      <x:c r="F20" s="9" t="str">
        <x:v>未执行</x:v>
      </x:c>
    </x:row>
    <x:row r="21" ht="55" customHeight="1">
      <x:c r="A21" s="4" t="str">
        <x:v>/gam/modelConfig</x:v>
      </x:c>
      <x:c r="B21" s="4" t="str">
        <x:v>FLOW/MODEL</x:v>
      </x:c>
      <x:c r="C21" s="4" t="str">
        <x:v>FLOW-001、FLOW-002、FLOW-003、FLOW-004、FLOW-005、FLOW-006、FLOW-007、FLOW-008、FLOW-009、FLOW-010、FLOW-011、FLOW-012；MODEL-001、MODEL-002、MODEL-003、MODEL-004、MODEL-005、MODEL-006、MODEL-007、MODEL-008、MODEL-009、MODEL-010、MODEL-011</x:v>
      </x:c>
      <x:c r="D21" s="4" t="str">
        <x:v>按目标runMode及能力</x:v>
      </x:c>
      <x:c r="E21" s="4" t="str">
        <x:v>src/web/src/router/index.js；src/web/src/views/main/menu.js</x:v>
      </x:c>
      <x:c r="F21" s="4" t="str">
        <x:v>未执行</x:v>
      </x:c>
    </x:row>
    <x:row r="22" ht="40" customHeight="1">
      <x:c r="A22" s="9" t="str">
        <x:v>/basePicManagement/people</x:v>
      </x:c>
      <x:c r="B22" s="9" t="str">
        <x:v>FACE</x:v>
      </x:c>
      <x:c r="C22" s="9" t="str">
        <x:v>FACE-001、FACE-002、FACE-003、FACE-004、FACE-005、FACE-006、FACE-007、FACE-008、FACE-009、FACE-010、FACE-011、FACE-012、FACE-013</x:v>
      </x:c>
      <x:c r="D22" s="9" t="str">
        <x:v>按目标runMode及能力</x:v>
      </x:c>
      <x:c r="E22" s="9" t="str">
        <x:v>src/web/src/router/index.js；src/web/src/views/main/menu.js</x:v>
      </x:c>
      <x:c r="F22" s="9" t="str">
        <x:v>未执行</x:v>
      </x:c>
    </x:row>
    <x:row r="23" ht="40" customHeight="1">
      <x:c r="A23" s="4" t="str">
        <x:v>/basePicManagement/workClothes</x:v>
      </x:c>
      <x:c r="B23" s="4" t="str">
        <x:v>UNIFORM</x:v>
      </x:c>
      <x:c r="C23" s="4" t="str">
        <x:v>UNIFORM-001、UNIFORM-002、UNIFORM-003、UNIFORM-004、UNIFORM-005、UNIFORM-006、UNIFORM-007、UNIFORM-008</x:v>
      </x:c>
      <x:c r="D23" s="4" t="str">
        <x:v>按目标runMode及能力</x:v>
      </x:c>
      <x:c r="E23" s="4" t="str">
        <x:v>src/web/src/router/index.js；src/web/src/views/main/menu.js</x:v>
      </x:c>
      <x:c r="F23" s="4" t="str">
        <x:v>未执行</x:v>
      </x:c>
    </x:row>
    <x:row r="24" ht="32" customHeight="1">
      <x:c r="A24" s="9" t="str">
        <x:v>/basePicManagement/item</x:v>
      </x:c>
      <x:c r="B24" s="9" t="str">
        <x:v>ITEM</x:v>
      </x:c>
      <x:c r="C24" s="9" t="str">
        <x:v>ITEM-001、ITEM-002</x:v>
      </x:c>
      <x:c r="D24" s="9" t="str">
        <x:v>菜单隐藏；需评审适用性</x:v>
      </x:c>
      <x:c r="E24" s="9" t="str">
        <x:v>src/web/src/router/index.js；src/web/src/views/main/menu.js</x:v>
      </x:c>
      <x:c r="F24" s="9" t="str">
        <x:v>未执行</x:v>
      </x:c>
    </x:row>
    <x:row r="25" ht="32" customHeight="1">
      <x:c r="A25" s="4" t="str">
        <x:v>/audioManagement/audio</x:v>
      </x:c>
      <x:c r="B25" s="4" t="str">
        <x:v>AUDIO</x:v>
      </x:c>
      <x:c r="C25" s="4" t="str">
        <x:v>AUDIO-001、AUDIO-002、AUDIO-003、AUDIO-004、AUDIO-005、AUDIO-006</x:v>
      </x:c>
      <x:c r="D25" s="4" t="str">
        <x:v>按目标runMode及能力</x:v>
      </x:c>
      <x:c r="E25" s="4" t="str">
        <x:v>src/web/src/router/index.js；src/web/src/views/main/menu.js</x:v>
      </x:c>
      <x:c r="F25" s="4" t="str">
        <x:v>未执行</x:v>
      </x:c>
    </x:row>
    <x:row r="26" ht="32" customHeight="1">
      <x:c r="A26" s="9" t="str">
        <x:v>/peripheralManagement/sound</x:v>
      </x:c>
      <x:c r="B26" s="9" t="str">
        <x:v>AUDIO</x:v>
      </x:c>
      <x:c r="C26" s="9" t="str">
        <x:v>AUDIO-001、AUDIO-002、AUDIO-003、AUDIO-004、AUDIO-005、AUDIO-006</x:v>
      </x:c>
      <x:c r="D26" s="9" t="str">
        <x:v>按目标runMode及能力</x:v>
      </x:c>
      <x:c r="E26" s="9" t="str">
        <x:v>src/web/src/router/index.js；src/web/src/views/main/menu.js</x:v>
      </x:c>
      <x:c r="F26" s="9" t="str">
        <x:v>未执行</x:v>
      </x:c>
    </x:row>
    <x:row r="27" ht="32" customHeight="1">
      <x:c r="A27" s="4" t="str">
        <x:v>/strategyManagement/linkageStrategy</x:v>
      </x:c>
      <x:c r="B27" s="4" t="str">
        <x:v>AUDIO</x:v>
      </x:c>
      <x:c r="C27" s="4" t="str">
        <x:v>AUDIO-001、AUDIO-002、AUDIO-003、AUDIO-004、AUDIO-005、AUDIO-006</x:v>
      </x:c>
      <x:c r="D27" s="4" t="str">
        <x:v>按目标runMode及能力</x:v>
      </x:c>
      <x:c r="E27" s="4" t="str">
        <x:v>src/web/src/router/index.js；src/web/src/views/main/menu.js</x:v>
      </x:c>
      <x:c r="F27" s="4" t="str">
        <x:v>未执行</x:v>
      </x:c>
    </x:row>
    <x:row r="28" ht="32" customHeight="1">
      <x:c r="A28" s="9" t="str">
        <x:v>/systemManagement/systemConfig</x:v>
      </x:c>
      <x:c r="B28" s="9" t="str">
        <x:v>SYS</x:v>
      </x:c>
      <x:c r="C28" s="9" t="str">
        <x:v>SYS-001、SYS-002、SYS-003、SYS-004、SYS-005、SYS-006、SYS-007、SYS-008、SYS-009、SYS-010</x:v>
      </x:c>
      <x:c r="D28" s="9" t="str">
        <x:v>按目标runMode及能力</x:v>
      </x:c>
      <x:c r="E28" s="9" t="str">
        <x:v>src/web/src/router/index.js；src/web/src/views/main/menu.js</x:v>
      </x:c>
      <x:c r="F28" s="9" t="str">
        <x:v>未执行</x:v>
      </x:c>
    </x:row>
    <x:row r="29" ht="32" customHeight="1">
      <x:c r="A29" s="4" t="str">
        <x:v>/systemManagement/netConfig</x:v>
      </x:c>
      <x:c r="B29" s="4" t="str">
        <x:v>NET</x:v>
      </x:c>
      <x:c r="C29" s="4" t="str">
        <x:v>NET-001、NET-002、NET-003、NET-004、NET-005、NET-006</x:v>
      </x:c>
      <x:c r="D29" s="4" t="str">
        <x:v>按目标runMode及能力</x:v>
      </x:c>
      <x:c r="E29" s="4" t="str">
        <x:v>src/web/src/router/index.js；src/web/src/views/main/menu.js</x:v>
      </x:c>
      <x:c r="F29" s="4" t="str">
        <x:v>未执行</x:v>
      </x:c>
    </x:row>
    <x:row r="30" ht="70" customHeight="1">
      <x:c r="A30" s="9" t="str">
        <x:v>/systemManagement/systemMaintain</x:v>
      </x:c>
      <x:c r="B30" s="9" t="str">
        <x:v>SYS/UPG/MODEL</x:v>
      </x:c>
      <x:c r="C30" s="9" t="str">
        <x:v>SYS-001、SYS-002、SYS-003、SYS-004、SYS-005、SYS-006、SYS-007、SYS-008、SYS-009、SYS-010；UPG-001、UPG-002、UPG-003、UPG-004、UPG-005、UPG-006、UPG-007、UPG-008、UPG-009、UPG-010、UPG-011、UPG-012、UPG-013；MODEL-001、MODEL-002、MODEL-003、MODEL-004、MODEL-005、MODEL-006、MODEL-007、MODEL-008、MODEL-009、MODEL-010、MODEL-011</x:v>
      </x:c>
      <x:c r="D30" s="9" t="str">
        <x:v>按目标runMode及能力</x:v>
      </x:c>
      <x:c r="E30" s="9" t="str">
        <x:v>src/web/src/router/index.js；src/web/src/views/main/menu.js</x:v>
      </x:c>
      <x:c r="F30" s="9" t="str">
        <x:v>未执行</x:v>
      </x:c>
    </x:row>
    <x:row r="31" ht="32" customHeight="1">
      <x:c r="A31" s="4" t="str">
        <x:v>/systemManagement/customConfig</x:v>
      </x:c>
      <x:c r="B31" s="4" t="str">
        <x:v>SYS</x:v>
      </x:c>
      <x:c r="C31" s="4" t="str">
        <x:v>SYS-001、SYS-002、SYS-003、SYS-004、SYS-005、SYS-006、SYS-007、SYS-008、SYS-009、SYS-010</x:v>
      </x:c>
      <x:c r="D31" s="4" t="str">
        <x:v>按目标runMode及能力</x:v>
      </x:c>
      <x:c r="E31" s="4" t="str">
        <x:v>src/web/src/router/index.js；src/web/src/views/main/menu.js</x:v>
      </x:c>
      <x:c r="F31" s="4" t="str">
        <x:v>未执行</x:v>
      </x:c>
    </x:row>
    <x:row r="32" ht="32" customHeight="1">
      <x:c r="A32" s="9" t="str">
        <x:v>/:pathMatch(.*)*</x:v>
      </x:c>
      <x:c r="B32" s="9" t="str">
        <x:v>HOME</x:v>
      </x:c>
      <x:c r="C32" s="9" t="str">
        <x:v>HOME-001、HOME-002、HOME-003、HOME-004、HOME-005、HOME-006</x:v>
      </x:c>
      <x:c r="D32" s="9" t="str">
        <x:v>路由容器/重定向</x:v>
      </x:c>
      <x:c r="E32" s="9" t="str">
        <x:v>src/web/src/router/index.js；src/web/src/views/main/menu.js</x:v>
      </x:c>
      <x:c r="F32" s="9" t="str">
        <x:v>未执行</x:v>
      </x:c>
    </x:row>
    <x:row r="33" ht="32" customHeight="1">
      <x:c r="A33" s="4" t="str">
        <x:v>测试准备</x:v>
      </x:c>
      <x:c r="B33" s="4" t="str">
        <x:v>ENV</x:v>
      </x:c>
      <x:c r="C33" s="4" t="str">
        <x:v>ENV-001、ENV-002、ENV-003、ENV-004、ENV-005、ENV-006、ENV-007、ENV-008</x:v>
      </x:c>
      <x:c r="D33" s="4" t="str">
        <x:v>模块全部适用操作及异常路径</x:v>
      </x:c>
      <x:c r="E33" s="4" t="str">
        <x:v>AGENTS.md；docs/guide/test-cases.md</x:v>
      </x:c>
      <x:c r="F33" s="4" t="str">
        <x:v>未执行</x:v>
      </x:c>
    </x:row>
    <x:row r="34" ht="32" customHeight="1">
      <x:c r="A34" s="9" t="str">
        <x:v>登录与引导</x:v>
      </x:c>
      <x:c r="B34" s="9" t="str">
        <x:v>AUTH</x:v>
      </x:c>
      <x:c r="C34" s="9" t="str">
        <x:v>AUTH-001、AUTH-002、AUTH-003、AUTH-004、AUTH-005、AUTH-006、AUTH-007、AUTH-008</x:v>
      </x:c>
      <x:c r="D34" s="9" t="str">
        <x:v>模块全部适用操作及异常路径</x:v>
      </x:c>
      <x:c r="E34" s="9" t="str">
        <x:v>src/web/src/views/LoginPage.vue；src/api/ApiRouter.cc；docs/guide/test-cases.md</x:v>
      </x:c>
      <x:c r="F34" s="9" t="str">
        <x:v>未执行</x:v>
      </x:c>
    </x:row>
    <x:row r="35" ht="40" customHeight="1">
      <x:c r="A35" s="4" t="str">
        <x:v>首页与通用交互</x:v>
      </x:c>
      <x:c r="B35" s="4" t="str">
        <x:v>HOME</x:v>
      </x:c>
      <x:c r="C35" s="4" t="str">
        <x:v>HOME-001、HOME-002、HOME-003、HOME-004、HOME-005、HOME-006</x:v>
      </x:c>
      <x:c r="D35" s="4" t="str">
        <x:v>模块全部适用操作及异常路径</x:v>
      </x:c>
      <x:c r="E35" s="4" t="str">
        <x:v>src/web/src/views/home/index.vue；src/web/src/views/main/menu.js；src/web/src/router/index.js</x:v>
      </x:c>
      <x:c r="F35" s="4" t="str">
        <x:v>未执行</x:v>
      </x:c>
    </x:row>
    <x:row r="36" ht="40" customHeight="1">
      <x:c r="A36" s="9" t="str">
        <x:v>视频源基础接入</x:v>
      </x:c>
      <x:c r="B36" s="9" t="str">
        <x:v>CAM</x:v>
      </x:c>
      <x:c r="C36" s="9" t="str">
        <x:v>CAM-001、CAM-002、CAM-003、CAM-004、CAM-005、CAM-006、CAM-007、CAM-008、CAM-009、CAM-010、CAM-011、CAM-012</x:v>
      </x:c>
      <x:c r="D36" s="9" t="str">
        <x:v>模块全部适用操作及异常路径</x:v>
      </x:c>
      <x:c r="E36" s="9" t="str">
        <x:v>src/web/src/views/gam/taskManager/index.vue；src/web/src/api/gam.js；docs/guide/test-cases.md</x:v>
      </x:c>
      <x:c r="F36" s="9" t="str">
        <x:v>未执行</x:v>
      </x:c>
    </x:row>
    <x:row r="37" ht="40" customHeight="1">
      <x:c r="A37" s="4" t="str">
        <x:v>ONVIF 接入</x:v>
      </x:c>
      <x:c r="B37" s="4" t="str">
        <x:v>ONVIF</x:v>
      </x:c>
      <x:c r="C37" s="4" t="str">
        <x:v>ONVIF-001、ONVIF-002、ONVIF-003、ONVIF-004、ONVIF-005、ONVIF-006、ONVIF-007、ONVIF-008、ONVIF-009、ONVIF-010、ONVIF-011</x:v>
      </x:c>
      <x:c r="D37" s="4" t="str">
        <x:v>模块全部适用操作及异常路径</x:v>
      </x:c>
      <x:c r="E37" s="4" t="str">
        <x:v>docs/guide/onvif-access.md；src/web/src/views/gam/taskManager/components/OnvifDialog.vue</x:v>
      </x:c>
      <x:c r="F37" s="4" t="str">
        <x:v>未执行</x:v>
      </x:c>
    </x:row>
    <x:row r="38" ht="40" customHeight="1">
      <x:c r="A38" s="9" t="str">
        <x:v>GB28181 接入</x:v>
      </x:c>
      <x:c r="B38" s="9" t="str">
        <x:v>GB</x:v>
      </x:c>
      <x:c r="C38" s="9" t="str">
        <x:v>GB-001、GB-002、GB-003、GB-004、GB-005、GB-006、GB-007、GB-008、GB-009、GB-010、GB-011、GB-012、GB-013、GB-014、GB-015、GB-016、GB-017、GB-018</x:v>
      </x:c>
      <x:c r="D38" s="9" t="str">
        <x:v>模块全部适用操作及异常路径</x:v>
      </x:c>
      <x:c r="E38" s="9" t="str">
        <x:v>docs/guide/gb28181-access.md；src/web/src/views/gam/taskManager/components/Gb28181Dialog.vue</x:v>
      </x:c>
      <x:c r="F38" s="9" t="str">
        <x:v>未执行</x:v>
      </x:c>
    </x:row>
    <x:row r="39" ht="32" customHeight="1">
      <x:c r="A39" s="4" t="str">
        <x:v>时间计划</x:v>
      </x:c>
      <x:c r="B39" s="4" t="str">
        <x:v>SCH</x:v>
      </x:c>
      <x:c r="C39" s="4" t="str">
        <x:v>SCH-001、SCH-002、SCH-003、SCH-004、SCH-005、SCH-006</x:v>
      </x:c>
      <x:c r="D39" s="4" t="str">
        <x:v>模块全部适用操作及异常路径</x:v>
      </x:c>
      <x:c r="E39" s="4" t="str">
        <x:v>src/web/src/views/box/videoAccess/timeTemplate/index.vue；src/web/src/api/box.js</x:v>
      </x:c>
      <x:c r="F39" s="4" t="str">
        <x:v>未执行</x:v>
      </x:c>
    </x:row>
    <x:row r="40" ht="32" customHeight="1">
      <x:c r="A40" s="9" t="str">
        <x:v>场景管理</x:v>
      </x:c>
      <x:c r="B40" s="9" t="str">
        <x:v>SCENE</x:v>
      </x:c>
      <x:c r="C40" s="9" t="str">
        <x:v>SCENE-001、SCENE-002、SCENE-003、SCENE-004、SCENE-005、SCENE-006、SCENE-007、SCENE-008、SCENE-009</x:v>
      </x:c>
      <x:c r="D40" s="9" t="str">
        <x:v>模块全部适用操作及异常路径</x:v>
      </x:c>
      <x:c r="E40" s="9" t="str">
        <x:v>src/web/src/views/gam/countManagement/algorithmicManagement/algorithmicIndex.vue</x:v>
      </x:c>
      <x:c r="F40" s="9" t="str">
        <x:v>未执行</x:v>
      </x:c>
    </x:row>
    <x:row r="41" ht="40" customHeight="1">
      <x:c r="A41" s="4" t="str">
        <x:v>算法编排与模型组件</x:v>
      </x:c>
      <x:c r="B41" s="4" t="str">
        <x:v>FLOW</x:v>
      </x:c>
      <x:c r="C41" s="4" t="str">
        <x:v>FLOW-001、FLOW-002、FLOW-003、FLOW-004、FLOW-005、FLOW-006、FLOW-007、FLOW-008、FLOW-009、FLOW-010、FLOW-011、FLOW-012</x:v>
      </x:c>
      <x:c r="D41" s="4" t="str">
        <x:v>模块全部适用操作及异常路径</x:v>
      </x:c>
      <x:c r="E41" s="4" t="str">
        <x:v>src/web/src/views/gam/countManagement/arrangeDetail/flow；src/web/src/views/gam/countManagement/modelConfig；data/resource/aiboxresource_bm1688/layout</x:v>
      </x:c>
      <x:c r="F41" s="4" t="str">
        <x:v>未执行</x:v>
      </x:c>
    </x:row>
    <x:row r="42" ht="40" customHeight="1">
      <x:c r="A42" s="9" t="str">
        <x:v>任务配置与运行</x:v>
      </x:c>
      <x:c r="B42" s="9" t="str">
        <x:v>TASK</x:v>
      </x:c>
      <x:c r="C42" s="9" t="str">
        <x:v>TASK-001、TASK-002、TASK-003、TASK-004、TASK-005、TASK-006、TASK-007、TASK-008、TASK-009、TASK-010、TASK-011、TASK-012、TASK-013、TASK-014、TASK-015、TASK-016</x:v>
      </x:c>
      <x:c r="D42" s="9" t="str">
        <x:v>模块全部适用操作及异常路径</x:v>
      </x:c>
      <x:c r="E42" s="9" t="str">
        <x:v>src/web/src/views/gam/taskManager/editTask；src/web/src/api/gam.js；test/test_camera_task_param_sync.cc</x:v>
      </x:c>
      <x:c r="F42" s="9" t="str">
        <x:v>未执行</x:v>
      </x:c>
    </x:row>
    <x:row r="43" ht="40" customHeight="1">
      <x:c r="A43" s="4" t="str">
        <x:v>区域与空间规则</x:v>
      </x:c>
      <x:c r="B43" s="4" t="str">
        <x:v>ROI</x:v>
      </x:c>
      <x:c r="C43" s="4" t="str">
        <x:v>ROI-001、ROI-002、ROI-003、ROI-004、ROI-005、ROI-006、ROI-007、ROI-008、ROI-009、ROI-010</x:v>
      </x:c>
      <x:c r="D43" s="4" t="str">
        <x:v>模块全部适用操作及异常路径</x:v>
      </x:c>
      <x:c r="E43" s="4" t="str">
        <x:v>docs/guide/area-rule-interaction-v1.md；src/web/src/views/gam/taskManager/editTask/areaSetting2.vue</x:v>
      </x:c>
      <x:c r="F43" s="4" t="str">
        <x:v>未执行</x:v>
      </x:c>
    </x:row>
    <x:row r="44" ht="40" customHeight="1">
      <x:c r="A44" s="9" t="str">
        <x:v>人脸底库与识别</x:v>
      </x:c>
      <x:c r="B44" s="9" t="str">
        <x:v>FACE</x:v>
      </x:c>
      <x:c r="C44" s="9" t="str">
        <x:v>FACE-001、FACE-002、FACE-003、FACE-004、FACE-005、FACE-006、FACE-007、FACE-008、FACE-009、FACE-010、FACE-011、FACE-012、FACE-013</x:v>
      </x:c>
      <x:c r="D44" s="9" t="str">
        <x:v>模块全部适用操作及异常路径</x:v>
      </x:c>
      <x:c r="E44" s="9" t="str">
        <x:v>src/web/src/views/box/basePicManagement/people；docs/guide/image-analysis.md；src/web/src/i18n/locales/zh-CN.js</x:v>
      </x:c>
      <x:c r="F44" s="9" t="str">
        <x:v>未执行</x:v>
      </x:c>
    </x:row>
    <x:row r="45" ht="40" customHeight="1">
      <x:c r="A45" s="4" t="str">
        <x:v>工服底库</x:v>
      </x:c>
      <x:c r="B45" s="4" t="str">
        <x:v>UNIFORM</x:v>
      </x:c>
      <x:c r="C45" s="4" t="str">
        <x:v>UNIFORM-001、UNIFORM-002、UNIFORM-003、UNIFORM-004、UNIFORM-005、UNIFORM-006、UNIFORM-007、UNIFORM-008</x:v>
      </x:c>
      <x:c r="D45" s="4" t="str">
        <x:v>模块全部适用操作及异常路径</x:v>
      </x:c>
      <x:c r="E45" s="4" t="str">
        <x:v>src/web/src/views/box/basePicManagement/workClothes；docs/guide/image-analysis.md</x:v>
      </x:c>
      <x:c r="F45" s="4" t="str">
        <x:v>未执行</x:v>
      </x:c>
    </x:row>
    <x:row r="46" ht="40" customHeight="1">
      <x:c r="A46" s="9" t="str">
        <x:v>隐藏物品底库</x:v>
      </x:c>
      <x:c r="B46" s="9" t="str">
        <x:v>ITEM</x:v>
      </x:c>
      <x:c r="C46" s="9" t="str">
        <x:v>ITEM-001、ITEM-002</x:v>
      </x:c>
      <x:c r="D46" s="9" t="str">
        <x:v>模块全部适用操作及异常路径</x:v>
      </x:c>
      <x:c r="E46" s="9" t="str">
        <x:v>src/web/src/views/main/menu.js；src/web/src/views/box/basePicManagement/item；src/api/ApiRouterRoutes.cc</x:v>
      </x:c>
      <x:c r="F46" s="9" t="str">
        <x:v>未执行</x:v>
      </x:c>
    </x:row>
    <x:row r="47" ht="40" customHeight="1">
      <x:c r="A47" s="4" t="str">
        <x:v>图片分析与双图比对</x:v>
      </x:c>
      <x:c r="B47" s="4" t="str">
        <x:v>IMAGE</x:v>
      </x:c>
      <x:c r="C47" s="4" t="str">
        <x:v>IMAGE-001、IMAGE-002、IMAGE-003、IMAGE-004、IMAGE-005、IMAGE-006、IMAGE-007、IMAGE-008、IMAGE-009、IMAGE-010、IMAGE-011、IMAGE-012、IMAGE-013、ALG-38874</x:v>
      </x:c>
      <x:c r="D47" s="4" t="str">
        <x:v>模块全部适用操作及异常路径</x:v>
      </x:c>
      <x:c r="E47" s="4" t="str">
        <x:v>docs/guide/image-analysis.md；docs/reference/image-detection-api.md；src/web/src/views/gam/imageAnalysis</x:v>
      </x:c>
      <x:c r="F47" s="4" t="str">
        <x:v>未执行</x:v>
      </x:c>
    </x:row>
    <x:row r="48" ht="40" customHeight="1">
      <x:c r="A48" s="9" t="str">
        <x:v>模型仓库与授权</x:v>
      </x:c>
      <x:c r="B48" s="9" t="str">
        <x:v>MODEL</x:v>
      </x:c>
      <x:c r="C48" s="9" t="str">
        <x:v>MODEL-001、MODEL-002、MODEL-003、MODEL-004、MODEL-005、MODEL-006、MODEL-007、MODEL-008、MODEL-009、MODEL-010、MODEL-011</x:v>
      </x:c>
      <x:c r="D48" s="9" t="str">
        <x:v>模块全部适用操作及异常路径</x:v>
      </x:c>
      <x:c r="E48" s="9" t="str">
        <x:v>src/web/src/views/gam/countManagement/atomicModel/index.vue；docs/guide/test-cases.md；docs/reference/api.md</x:v>
      </x:c>
      <x:c r="F48" s="9" t="str">
        <x:v>未执行</x:v>
      </x:c>
    </x:row>
    <x:row r="49" ht="32" customHeight="1">
      <x:c r="A49" s="4" t="str">
        <x:v>实时展示</x:v>
      </x:c>
      <x:c r="B49" s="4" t="str">
        <x:v>LIVE</x:v>
      </x:c>
      <x:c r="C49" s="4" t="str">
        <x:v>LIVE-001、LIVE-002、LIVE-003、LIVE-004、LIVE-005、LIVE-006、LIVE-007</x:v>
      </x:c>
      <x:c r="D49" s="4" t="str">
        <x:v>模块全部适用操作及异常路径</x:v>
      </x:c>
      <x:c r="E49" s="4" t="str">
        <x:v>src/web/src/views/box/bigScreen；docs/guide/test-cases.md</x:v>
      </x:c>
      <x:c r="F49" s="4" t="str">
        <x:v>未执行</x:v>
      </x:c>
    </x:row>
    <x:row r="50" ht="40" customHeight="1">
      <x:c r="A50" s="9" t="str">
        <x:v>事件中心与统计</x:v>
      </x:c>
      <x:c r="B50" s="9" t="str">
        <x:v>EVENT</x:v>
      </x:c>
      <x:c r="C50" s="9" t="str">
        <x:v>EVENT-001、EVENT-002、EVENT-003、EVENT-004、EVENT-005、EVENT-006、EVENT-007、EVENT-008、EVENT-009、EVENT-010、EVENT-011、EVENT-012、EVENT-013、EVENT-014</x:v>
      </x:c>
      <x:c r="D50" s="9" t="str">
        <x:v>模块全部适用操作及异常路径</x:v>
      </x:c>
      <x:c r="E50" s="9" t="str">
        <x:v>src/web/src/views/box/eventQuery；src/web/src/api/box.js；docs/guide/accuracy-evaluation.md</x:v>
      </x:c>
      <x:c r="F50" s="9" t="str">
        <x:v>未执行</x:v>
      </x:c>
    </x:row>
    <x:row r="51" ht="40" customHeight="1">
      <x:c r="A51" s="4" t="str">
        <x:v>数据对接</x:v>
      </x:c>
      <x:c r="B51" s="4" t="str">
        <x:v>PUSH</x:v>
      </x:c>
      <x:c r="C51" s="4" t="str">
        <x:v>PUSH-001、PUSH-002、PUSH-003、PUSH-004、PUSH-005、PUSH-006、PUSH-007、PUSH-008、PUSH-009</x:v>
      </x:c>
      <x:c r="D51" s="4" t="str">
        <x:v>模块全部适用操作及异常路径</x:v>
      </x:c>
      <x:c r="E51" s="4" t="str">
        <x:v>src/web/src/views/box/dataDocking/index.vue；docs/reference/mqtt.md；docs/reference/webhook.md；test/push-test-service</x:v>
      </x:c>
      <x:c r="F51" s="4" t="str">
        <x:v>未执行</x:v>
      </x:c>
    </x:row>
    <x:row r="52" ht="40" customHeight="1">
      <x:c r="A52" s="9" t="str">
        <x:v>音频音柱与联动</x:v>
      </x:c>
      <x:c r="B52" s="9" t="str">
        <x:v>AUDIO</x:v>
      </x:c>
      <x:c r="C52" s="9" t="str">
        <x:v>AUDIO-001、AUDIO-002、AUDIO-003、AUDIO-004、AUDIO-005、AUDIO-006</x:v>
      </x:c>
      <x:c r="D52" s="9" t="str">
        <x:v>模块全部适用操作及异常路径</x:v>
      </x:c>
      <x:c r="E52" s="9" t="str">
        <x:v>src/web/src/views/box/audioManagement；src/web/src/views/box/peripheralManagement；src/web/src/views/box/strategyManagement</x:v>
      </x:c>
      <x:c r="F52" s="9" t="str">
        <x:v>未执行</x:v>
      </x:c>
    </x:row>
    <x:row r="53" ht="32" customHeight="1">
      <x:c r="A53" s="4" t="str">
        <x:v>系统设置与个性化</x:v>
      </x:c>
      <x:c r="B53" s="4" t="str">
        <x:v>SYS</x:v>
      </x:c>
      <x:c r="C53" s="4" t="str">
        <x:v>SYS-001、SYS-002、SYS-003、SYS-004、SYS-005、SYS-006、SYS-007、SYS-008、SYS-009、SYS-010</x:v>
      </x:c>
      <x:c r="D53" s="4" t="str">
        <x:v>模块全部适用操作及异常路径</x:v>
      </x:c>
      <x:c r="E53" s="4" t="str">
        <x:v>src/web/src/views/box/systemManagement；src/api/ApiRouterRoutes.cc</x:v>
      </x:c>
      <x:c r="F53" s="4" t="str">
        <x:v>未执行</x:v>
      </x:c>
    </x:row>
    <x:row r="54" ht="40" customHeight="1">
      <x:c r="A54" s="9" t="str">
        <x:v>网络设置</x:v>
      </x:c>
      <x:c r="B54" s="9" t="str">
        <x:v>NET</x:v>
      </x:c>
      <x:c r="C54" s="9" t="str">
        <x:v>NET-001、NET-002、NET-003、NET-004、NET-005、NET-006</x:v>
      </x:c>
      <x:c r="D54" s="9" t="str">
        <x:v>模块全部适用操作及异常路径</x:v>
      </x:c>
      <x:c r="E54" s="9" t="str">
        <x:v>src/web/src/views/box/systemManagement/netConfig；src/web/scripts/network_validation_check.mjs</x:v>
      </x:c>
      <x:c r="F54" s="9" t="str">
        <x:v>未执行</x:v>
      </x:c>
    </x:row>
    <x:row r="55" ht="40" customHeight="1">
      <x:c r="A55" s="4" t="str">
        <x:v>升级重启与恢复</x:v>
      </x:c>
      <x:c r="B55" s="4" t="str">
        <x:v>UPG</x:v>
      </x:c>
      <x:c r="C55" s="4" t="str">
        <x:v>UPG-001、UPG-002、UPG-003、UPG-004、UPG-005、UPG-006、UPG-007、UPG-008、UPG-009、UPG-010、UPG-011、UPG-012、UPG-013</x:v>
      </x:c>
      <x:c r="D55" s="4" t="str">
        <x:v>模块全部适用操作及异常路径</x:v>
      </x:c>
      <x:c r="E55" s="4" t="str">
        <x:v>src/web/src/views/box/systemManagement/systemMaintain；docs/reference/api.md；docs/guide/test-cases.md</x:v>
      </x:c>
      <x:c r="F55" s="4" t="str">
        <x:v>未执行</x:v>
      </x:c>
    </x:row>
    <x:row r="56" ht="32" customHeight="1">
      <x:c r="A56" s="9" t="str">
        <x:v>公共上传下载</x:v>
      </x:c>
      <x:c r="B56" s="9" t="str">
        <x:v>FILE</x:v>
      </x:c>
      <x:c r="C56" s="9" t="str">
        <x:v>FILE-001、FILE-002、FILE-003、FILE-004、FILE-005、FILE-006、FILE-007、FILE-008、FILE-009</x:v>
      </x:c>
      <x:c r="D56" s="9" t="str">
        <x:v>模块全部适用操作及异常路径</x:v>
      </x:c>
      <x:c r="E56" s="9" t="str">
        <x:v>docs/reference/api.md；src/web/src/utils/chunkUpload；src/api/ApiRouterRoutes.cc</x:v>
      </x:c>
      <x:c r="F56" s="9" t="str">
        <x:v>未执行</x:v>
      </x:c>
    </x:row>
    <x:row r="57" ht="40" customHeight="1">
      <x:c r="A57" s="4" t="str">
        <x:v>接口契约与隔离安全</x:v>
      </x:c>
      <x:c r="B57" s="4" t="str">
        <x:v>API</x:v>
      </x:c>
      <x:c r="C57" s="4" t="str">
        <x:v>API-001、API-002、API-003、API-004、API-005、API-006、API-007、API-008</x:v>
      </x:c>
      <x:c r="D57" s="4" t="str">
        <x:v>模块全部适用操作及异常路径</x:v>
      </x:c>
      <x:c r="E57" s="4" t="str">
        <x:v>src/api/ApiRouter.cc；src/api/ApiRouterRoutes.cc；docs/reference/api-fields.md；test/test_api_router.cc</x:v>
      </x:c>
      <x:c r="F57" s="4" t="str">
        <x:v>未执行</x:v>
      </x:c>
    </x:row>
    <x:row r="58" ht="40" customHeight="1">
      <x:c r="A58" s="9" t="str">
        <x:v>精度与样本表现</x:v>
      </x:c>
      <x:c r="B58" s="9" t="str">
        <x:v>ACC</x:v>
      </x:c>
      <x:c r="C58" s="9" t="str">
        <x:v>ACC-001、ACC-002、ACC-003、ACC-004、ACC-005、ACC-006、ACC-007、ACC-008</x:v>
      </x:c>
      <x:c r="D58" s="9" t="str">
        <x:v>模块全部适用操作及异常路径</x:v>
      </x:c>
      <x:c r="E58" s="9" t="str">
        <x:v>docs/guide/accuracy-evaluation.md；docs/guide/offline-accuracy-acceptance.md；tools/scenario-bench</x:v>
      </x:c>
      <x:c r="F58" s="9" t="str">
        <x:v>未执行</x:v>
      </x:c>
    </x:row>
    <x:row r="59" ht="32" customHeight="1">
      <x:c r="A59" s="4" t="str">
        <x:v>容量稳定性与异常恢复</x:v>
      </x:c>
      <x:c r="B59" s="4" t="str">
        <x:v>PERF</x:v>
      </x:c>
      <x:c r="C59" s="4" t="str">
        <x:v>PERF-001、PERF-002、PERF-003、PERF-004、PERF-005、PERF-006、PERF-007、PERF-008、PERF-009</x:v>
      </x:c>
      <x:c r="D59" s="4" t="str">
        <x:v>模块全部适用操作及异常路径</x:v>
      </x:c>
      <x:c r="E59" s="4" t="str">
        <x:v>docs/guide/scenario-benchmark-design.md；docs/guide/test-cases.md</x:v>
      </x:c>
      <x:c r="F59" s="4" t="str">
        <x:v>未执行</x:v>
      </x:c>
    </x:row>
    <x:row r="60" ht="32" customHeight="1">
      <x:c r="A60" s="9" t="str">
        <x:v>持续回归与交付</x:v>
      </x:c>
      <x:c r="B60" s="9" t="str">
        <x:v>REG</x:v>
      </x:c>
      <x:c r="C60" s="9" t="str">
        <x:v>REG-001、REG-002、REG-003、REG-004、REG-005</x:v>
      </x:c>
      <x:c r="D60" s="9" t="str">
        <x:v>模块全部适用操作及异常路径</x:v>
      </x:c>
      <x:c r="E60" s="9" t="str">
        <x:v>AGENTS.md；src/web/package.json；package.json；test</x:v>
      </x:c>
      <x:c r="F60" s="9" t="str">
        <x:v>未执行</x:v>
      </x:c>
    </x:row>
  </x:sheetData>
  <x:conditionalFormatting sqref="F5:F60">
    <x:cfRule type="containsText" dxfId="4" priority="1" operator="containsText" text="失败"/>
    <x:cfRule type="containsText" dxfId="5" priority="2" operator="containsText" text="阻塞"/>
  </x:conditionalFormatting>
  <x:dataValidations count="1">
    <x:dataValidation type="list" sqref="F5:F60">
      <x:formula1>"未执行,执行中,通过,失败,阻塞,不适用"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b436da5b54433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7" hidden="0" customWidth="1"/>
    <x:col min="2" max="2" width="35" hidden="0" customWidth="1"/>
    <x:col min="3" max="3" width="12" hidden="0" customWidth="1"/>
    <x:col min="4" max="4" width="28" hidden="0" customWidth="1"/>
    <x:col min="5" max="5" width="24" hidden="0" customWidth="1"/>
    <x:col min="6" max="6" width="65" hidden="0" customWidth="1"/>
    <x:col min="7" max="7" width="85" hidden="0" customWidth="1"/>
    <x:col min="8" max="8" width="15" hidden="0" customWidth="1"/>
    <x:col min="9" max="9" width="40" hidden="0" customWidth="1"/>
  </x:cols>
  <x:sheetData>
    <x:row r="2" ht="29" customHeight="1">
      <x:c r="A2" s="1" t="str">
        <x:v>算法模板参考（执行实例由ALG用例维护）</x:v>
      </x:c>
    </x:row>
    <x:row r="4" ht="34" customHeight="1">
      <x:c r="A4" s="8" t="str">
        <x:v>模板ID</x:v>
      </x:c>
      <x:c r="B4" s="8" t="str">
        <x:v>模板名称</x:v>
      </x:c>
      <x:c r="C4" s="8" t="str">
        <x:v>类型</x:v>
      </x:c>
      <x:c r="D4" s="8" t="str">
        <x:v>资源平台</x:v>
      </x:c>
      <x:c r="E4" s="8" t="str">
        <x:v>关联用例</x:v>
      </x:c>
      <x:c r="F4" s="8" t="str">
        <x:v>模型与数据准备</x:v>
      </x:c>
      <x:c r="G4" s="8" t="str">
        <x:v>源码依据</x:v>
      </x:c>
      <x:c r="H4" s="8" t="str">
        <x:v>执行状态</x:v>
      </x:c>
      <x:c r="I4" s="8" t="str">
        <x:v>评审意见</x:v>
      </x:c>
    </x:row>
    <x:row r="5" ht="32" customHeight="1">
      <x:c r="A5" s="4" t="str">
        <x:v>2</x:v>
      </x:c>
      <x:c r="B5" s="4" t="str">
        <x:v>人脸比对</x:v>
      </x:c>
      <x:c r="C5" s="4" t="str">
        <x:v>视频</x:v>
      </x:c>
      <x:c r="D5" s="4" t="str">
        <x:v>bm1688,cv186x,x86</x:v>
      </x:c>
      <x:c r="E5" s="4" t="str">
        <x:v>ALG-2</x:v>
      </x:c>
      <x:c r="F5" s="4" t="str">
        <x:v>依赖模型/正负困难真值待按设备盘点</x:v>
      </x:c>
      <x:c r="G5" s="4" t="str">
        <x:v>data/resource/aiboxresource_bm1688/algorithm_template/2_人脸识别_1759134672.json</x:v>
      </x:c>
      <x:c r="H5" s="4" t="str">
        <x:v>未执行</x:v>
      </x:c>
      <x:c r="I5" s="12" t="str"/>
    </x:row>
    <x:row r="6" ht="32" customHeight="1">
      <x:c r="A6" s="9" t="str">
        <x:v>3</x:v>
      </x:c>
      <x:c r="B6" s="9" t="str">
        <x:v>区域入侵</x:v>
      </x:c>
      <x:c r="C6" s="9" t="str">
        <x:v>视频</x:v>
      </x:c>
      <x:c r="D6" s="9" t="str">
        <x:v>bm1688,cv186x,x86</x:v>
      </x:c>
      <x:c r="E6" s="9" t="str">
        <x:v>ALG-3</x:v>
      </x:c>
      <x:c r="F6" s="9" t="str">
        <x:v>依赖模型/正负困难真值待按设备盘点</x:v>
      </x:c>
      <x:c r="G6" s="9" t="str">
        <x:v>data/resource/aiboxresource_bm1688/algorithm_template/3_区域入侵_1775112182.json</x:v>
      </x:c>
      <x:c r="H6" s="9" t="str">
        <x:v>未执行</x:v>
      </x:c>
      <x:c r="I6" s="12" t="str"/>
    </x:row>
    <x:row r="7" ht="32" customHeight="1">
      <x:c r="A7" s="4" t="str">
        <x:v>5</x:v>
      </x:c>
      <x:c r="B7" s="4" t="str">
        <x:v>人员聚集</x:v>
      </x:c>
      <x:c r="C7" s="4" t="str">
        <x:v>视频</x:v>
      </x:c>
      <x:c r="D7" s="4" t="str">
        <x:v>bm1688,cv186x,x86</x:v>
      </x:c>
      <x:c r="E7" s="4" t="str">
        <x:v>ALG-5</x:v>
      </x:c>
      <x:c r="F7" s="4" t="str">
        <x:v>依赖模型/正负困难真值待按设备盘点</x:v>
      </x:c>
      <x:c r="G7" s="4" t="str">
        <x:v>data/resource/aiboxresource_bm1688/algorithm_template/5_人员聚集_1759134672.json</x:v>
      </x:c>
      <x:c r="H7" s="4" t="str">
        <x:v>未执行</x:v>
      </x:c>
      <x:c r="I7" s="12" t="str"/>
    </x:row>
    <x:row r="8" ht="32" customHeight="1">
      <x:c r="A8" s="9" t="str">
        <x:v>6</x:v>
      </x:c>
      <x:c r="B8" s="9" t="str">
        <x:v>人员跌倒</x:v>
      </x:c>
      <x:c r="C8" s="9" t="str">
        <x:v>视频</x:v>
      </x:c>
      <x:c r="D8" s="9" t="str">
        <x:v>bm1688,cv186x,x86</x:v>
      </x:c>
      <x:c r="E8" s="9" t="str">
        <x:v>ALG-6</x:v>
      </x:c>
      <x:c r="F8" s="9" t="str">
        <x:v>依赖模型/正负困难真值待按设备盘点</x:v>
      </x:c>
      <x:c r="G8" s="9" t="str">
        <x:v>data/resource/aiboxresource_bm1688/algorithm_template/6_人员跌倒_1759134672.json</x:v>
      </x:c>
      <x:c r="H8" s="9" t="str">
        <x:v>未执行</x:v>
      </x:c>
      <x:c r="I8" s="12" t="str"/>
    </x:row>
    <x:row r="9" ht="32" customHeight="1">
      <x:c r="A9" s="4" t="str">
        <x:v>7</x:v>
      </x:c>
      <x:c r="B9" s="4" t="str">
        <x:v>车辆违停</x:v>
      </x:c>
      <x:c r="C9" s="4" t="str">
        <x:v>视频</x:v>
      </x:c>
      <x:c r="D9" s="4" t="str">
        <x:v>bm1688,cv186x,x86</x:v>
      </x:c>
      <x:c r="E9" s="4" t="str">
        <x:v>ALG-7</x:v>
      </x:c>
      <x:c r="F9" s="4" t="str">
        <x:v>依赖模型/正负困难真值待按设备盘点</x:v>
      </x:c>
      <x:c r="G9" s="4" t="str">
        <x:v>data/resource/aiboxresource_bm1688/algorithm_template/7_车辆违停_1759134672.json</x:v>
      </x:c>
      <x:c r="H9" s="4" t="str">
        <x:v>未执行</x:v>
      </x:c>
      <x:c r="I9" s="12" t="str"/>
    </x:row>
    <x:row r="10" ht="32" customHeight="1">
      <x:c r="A10" s="9" t="str">
        <x:v>9</x:v>
      </x:c>
      <x:c r="B10" s="9" t="str">
        <x:v>烟雾检测</x:v>
      </x:c>
      <x:c r="C10" s="9" t="str">
        <x:v>视频</x:v>
      </x:c>
      <x:c r="D10" s="9" t="str">
        <x:v>bm1688,cv186x,x86</x:v>
      </x:c>
      <x:c r="E10" s="9" t="str">
        <x:v>ALG-9</x:v>
      </x:c>
      <x:c r="F10" s="9" t="str">
        <x:v>依赖模型/正负困难真值待按设备盘点</x:v>
      </x:c>
      <x:c r="G10" s="9" t="str">
        <x:v>data/resource/aiboxresource_bm1688/algorithm_template/9_烟雾检测_1759134672.json</x:v>
      </x:c>
      <x:c r="H10" s="9" t="str">
        <x:v>未执行</x:v>
      </x:c>
      <x:c r="I10" s="12" t="str"/>
    </x:row>
    <x:row r="11" ht="32" customHeight="1">
      <x:c r="A11" s="4" t="str">
        <x:v>10</x:v>
      </x:c>
      <x:c r="B11" s="4" t="str">
        <x:v>火焰检测</x:v>
      </x:c>
      <x:c r="C11" s="4" t="str">
        <x:v>视频</x:v>
      </x:c>
      <x:c r="D11" s="4" t="str">
        <x:v>bm1688,cv186x,x86</x:v>
      </x:c>
      <x:c r="E11" s="4" t="str">
        <x:v>ALG-10</x:v>
      </x:c>
      <x:c r="F11" s="4" t="str">
        <x:v>依赖模型/正负困难真值待按设备盘点</x:v>
      </x:c>
      <x:c r="G11" s="4" t="str">
        <x:v>data/resource/aiboxresource_bm1688/algorithm_template/10_火焰检测_1759134672.json</x:v>
      </x:c>
      <x:c r="H11" s="4" t="str">
        <x:v>未执行</x:v>
      </x:c>
      <x:c r="I11" s="12" t="str"/>
    </x:row>
    <x:row r="12" ht="32" customHeight="1">
      <x:c r="A12" s="9" t="str">
        <x:v>11</x:v>
      </x:c>
      <x:c r="B12" s="9" t="str">
        <x:v>吸烟检测</x:v>
      </x:c>
      <x:c r="C12" s="9" t="str">
        <x:v>视频</x:v>
      </x:c>
      <x:c r="D12" s="9" t="str">
        <x:v>bm1688,cv186x,x86</x:v>
      </x:c>
      <x:c r="E12" s="9" t="str">
        <x:v>ALG-11</x:v>
      </x:c>
      <x:c r="F12" s="9" t="str">
        <x:v>依赖模型/正负困难真值待按设备盘点</x:v>
      </x:c>
      <x:c r="G12" s="9" t="str">
        <x:v>data/resource/aiboxresource_bm1688/algorithm_template/11_吸烟检测_1775100665.json</x:v>
      </x:c>
      <x:c r="H12" s="9" t="str">
        <x:v>未执行</x:v>
      </x:c>
      <x:c r="I12" s="12" t="str"/>
    </x:row>
    <x:row r="13" ht="32" customHeight="1">
      <x:c r="A13" s="4" t="str">
        <x:v>12</x:v>
      </x:c>
      <x:c r="B13" s="4" t="str">
        <x:v>打电话检测</x:v>
      </x:c>
      <x:c r="C13" s="4" t="str">
        <x:v>视频</x:v>
      </x:c>
      <x:c r="D13" s="4" t="str">
        <x:v>bm1688,cv186x,x86</x:v>
      </x:c>
      <x:c r="E13" s="4" t="str">
        <x:v>ALG-12</x:v>
      </x:c>
      <x:c r="F13" s="4" t="str">
        <x:v>依赖模型/正负困难真值待按设备盘点</x:v>
      </x:c>
      <x:c r="G13" s="4" t="str">
        <x:v>data/resource/aiboxresource_bm1688/algorithm_template/12_打电话检测_1759134672.json</x:v>
      </x:c>
      <x:c r="H13" s="4" t="str">
        <x:v>未执行</x:v>
      </x:c>
      <x:c r="I13" s="12" t="str"/>
    </x:row>
    <x:row r="14" ht="32" customHeight="1">
      <x:c r="A14" s="9" t="str">
        <x:v>13</x:v>
      </x:c>
      <x:c r="B14" s="9" t="str">
        <x:v>人流量统计</x:v>
      </x:c>
      <x:c r="C14" s="9" t="str">
        <x:v>视频</x:v>
      </x:c>
      <x:c r="D14" s="9" t="str">
        <x:v>bm1688,cv186x,x86</x:v>
      </x:c>
      <x:c r="E14" s="9" t="str">
        <x:v>ALG-13</x:v>
      </x:c>
      <x:c r="F14" s="9" t="str">
        <x:v>依赖模型/正负困难真值待按设备盘点</x:v>
      </x:c>
      <x:c r="G14" s="9" t="str">
        <x:v>data/resource/aiboxresource_bm1688/algorithm_template/13_人流量统计_1776302940.json</x:v>
      </x:c>
      <x:c r="H14" s="9" t="str">
        <x:v>未执行</x:v>
      </x:c>
      <x:c r="I14" s="12" t="str"/>
    </x:row>
    <x:row r="15" ht="32" customHeight="1">
      <x:c r="A15" s="4" t="str">
        <x:v>15</x:v>
      </x:c>
      <x:c r="B15" s="4" t="str">
        <x:v>未戴安全帽</x:v>
      </x:c>
      <x:c r="C15" s="4" t="str">
        <x:v>视频</x:v>
      </x:c>
      <x:c r="D15" s="4" t="str">
        <x:v>bm1688,cv186x,x86</x:v>
      </x:c>
      <x:c r="E15" s="4" t="str">
        <x:v>ALG-15</x:v>
      </x:c>
      <x:c r="F15" s="4" t="str">
        <x:v>依赖模型/正负困难真值待按设备盘点</x:v>
      </x:c>
      <x:c r="G15" s="4" t="str">
        <x:v>data/resource/aiboxresource_bm1688/algorithm_template/15_未戴安全帽_1767592983.json</x:v>
      </x:c>
      <x:c r="H15" s="4" t="str">
        <x:v>未执行</x:v>
      </x:c>
      <x:c r="I15" s="12" t="str"/>
    </x:row>
    <x:row r="16" ht="32" customHeight="1">
      <x:c r="A16" s="9" t="str">
        <x:v>16</x:v>
      </x:c>
      <x:c r="B16" s="9" t="str">
        <x:v>离岗检测</x:v>
      </x:c>
      <x:c r="C16" s="9" t="str">
        <x:v>视频</x:v>
      </x:c>
      <x:c r="D16" s="9" t="str">
        <x:v>bm1688,cv186x,x86</x:v>
      </x:c>
      <x:c r="E16" s="9" t="str">
        <x:v>ALG-16</x:v>
      </x:c>
      <x:c r="F16" s="9" t="str">
        <x:v>依赖模型/正负困难真值待按设备盘点</x:v>
      </x:c>
      <x:c r="G16" s="9" t="str">
        <x:v>data/resource/aiboxresource_bm1688/algorithm_template/16_离岗检测_1759134672.json</x:v>
      </x:c>
      <x:c r="H16" s="9" t="str">
        <x:v>未执行</x:v>
      </x:c>
      <x:c r="I16" s="12" t="str"/>
    </x:row>
    <x:row r="17" ht="32" customHeight="1">
      <x:c r="A17" s="4" t="str">
        <x:v>22</x:v>
      </x:c>
      <x:c r="B17" s="4" t="str">
        <x:v>玩手机检测</x:v>
      </x:c>
      <x:c r="C17" s="4" t="str">
        <x:v>视频</x:v>
      </x:c>
      <x:c r="D17" s="4" t="str">
        <x:v>bm1688,cv186x,x86</x:v>
      </x:c>
      <x:c r="E17" s="4" t="str">
        <x:v>ALG-22</x:v>
      </x:c>
      <x:c r="F17" s="4" t="str">
        <x:v>依赖模型/正负困难真值待按设备盘点</x:v>
      </x:c>
      <x:c r="G17" s="4" t="str">
        <x:v>data/resource/aiboxresource_bm1688/algorithm_template/22_玩手机检测_1759134672.json</x:v>
      </x:c>
      <x:c r="H17" s="4" t="str">
        <x:v>未执行</x:v>
      </x:c>
      <x:c r="I17" s="12" t="str"/>
    </x:row>
    <x:row r="18" ht="32" customHeight="1">
      <x:c r="A18" s="9" t="str">
        <x:v>29</x:v>
      </x:c>
      <x:c r="B18" s="9" t="str">
        <x:v>车牌识别</x:v>
      </x:c>
      <x:c r="C18" s="9" t="str">
        <x:v>视频</x:v>
      </x:c>
      <x:c r="D18" s="9" t="str">
        <x:v>bm1688,cv186x,x86</x:v>
      </x:c>
      <x:c r="E18" s="9" t="str">
        <x:v>ALG-29</x:v>
      </x:c>
      <x:c r="F18" s="9" t="str">
        <x:v>依赖模型/正负困难真值待按设备盘点</x:v>
      </x:c>
      <x:c r="G18" s="9" t="str">
        <x:v>data/resource/aiboxresource_bm1688/algorithm_template/29_车牌识别_1783987200.json</x:v>
      </x:c>
      <x:c r="H18" s="9" t="str">
        <x:v>未执行</x:v>
      </x:c>
      <x:c r="I18" s="12" t="str"/>
    </x:row>
    <x:row r="19" ht="32" customHeight="1">
      <x:c r="A19" s="4" t="str">
        <x:v>32</x:v>
      </x:c>
      <x:c r="B19" s="4" t="str">
        <x:v>未穿反光衣</x:v>
      </x:c>
      <x:c r="C19" s="4" t="str">
        <x:v>视频</x:v>
      </x:c>
      <x:c r="D19" s="4" t="str">
        <x:v>bm1688,cv186x,x86</x:v>
      </x:c>
      <x:c r="E19" s="4" t="str">
        <x:v>ALG-32</x:v>
      </x:c>
      <x:c r="F19" s="4" t="str">
        <x:v>依赖模型/正负困难真值待按设备盘点</x:v>
      </x:c>
      <x:c r="G19" s="4" t="str">
        <x:v>data/resource/aiboxresource_bm1688/algorithm_template/32_未穿反光衣_1759134672.json</x:v>
      </x:c>
      <x:c r="H19" s="4" t="str">
        <x:v>未执行</x:v>
      </x:c>
      <x:c r="I19" s="12" t="str"/>
    </x:row>
    <x:row r="20" ht="40" customHeight="1">
      <x:c r="A20" s="9" t="str">
        <x:v>51</x:v>
      </x:c>
      <x:c r="B20" s="9" t="str">
        <x:v>区域人数统计</x:v>
      </x:c>
      <x:c r="C20" s="9" t="str">
        <x:v>视频</x:v>
      </x:c>
      <x:c r="D20" s="9" t="str">
        <x:v>bm1688,cv186x,x86</x:v>
      </x:c>
      <x:c r="E20" s="9" t="str">
        <x:v>ALG-51</x:v>
      </x:c>
      <x:c r="F20" s="9" t="str">
        <x:v>依赖模型/正负困难真值待按设备盘点</x:v>
      </x:c>
      <x:c r="G20" s="9" t="str">
        <x:v>data/resource/aiboxresource_bm1688/algorithm_template/51_区域人数统计_1759134672.json</x:v>
      </x:c>
      <x:c r="H20" s="9" t="str">
        <x:v>未执行</x:v>
      </x:c>
      <x:c r="I20" s="12" t="str"/>
    </x:row>
    <x:row r="21" ht="32" customHeight="1">
      <x:c r="A21" s="4" t="str">
        <x:v>57</x:v>
      </x:c>
      <x:c r="B21" s="4" t="str">
        <x:v>绊线检测</x:v>
      </x:c>
      <x:c r="C21" s="4" t="str">
        <x:v>视频</x:v>
      </x:c>
      <x:c r="D21" s="4" t="str">
        <x:v>bm1688,cv186x,x86</x:v>
      </x:c>
      <x:c r="E21" s="4" t="str">
        <x:v>ALG-57</x:v>
      </x:c>
      <x:c r="F21" s="4" t="str">
        <x:v>依赖模型/正负困难真值待按设备盘点</x:v>
      </x:c>
      <x:c r="G21" s="4" t="str">
        <x:v>data/resource/aiboxresource_bm1688/algorithm_template/57_绊线检测_1759134672.json</x:v>
      </x:c>
      <x:c r="H21" s="4" t="str">
        <x:v>未执行</x:v>
      </x:c>
      <x:c r="I21" s="12" t="str"/>
    </x:row>
    <x:row r="22" ht="32" customHeight="1">
      <x:c r="A22" s="9" t="str">
        <x:v>58</x:v>
      </x:c>
      <x:c r="B22" s="9" t="str">
        <x:v>未穿工服</x:v>
      </x:c>
      <x:c r="C22" s="9" t="str">
        <x:v>视频</x:v>
      </x:c>
      <x:c r="D22" s="9" t="str">
        <x:v>bm1688,cv186x,x86</x:v>
      </x:c>
      <x:c r="E22" s="9" t="str">
        <x:v>ALG-58</x:v>
      </x:c>
      <x:c r="F22" s="9" t="str">
        <x:v>依赖模型/正负困难真值待按设备盘点</x:v>
      </x:c>
      <x:c r="G22" s="9" t="str">
        <x:v>data/resource/aiboxresource_bm1688/algorithm_template/58_未穿工服_1759134672.json</x:v>
      </x:c>
      <x:c r="H22" s="9" t="str">
        <x:v>未执行</x:v>
      </x:c>
      <x:c r="I22" s="12" t="str"/>
    </x:row>
    <x:row r="23" ht="32" customHeight="1">
      <x:c r="A23" s="4" t="str">
        <x:v>65</x:v>
      </x:c>
      <x:c r="B23" s="4" t="str">
        <x:v>睡岗检测</x:v>
      </x:c>
      <x:c r="C23" s="4" t="str">
        <x:v>视频</x:v>
      </x:c>
      <x:c r="D23" s="4" t="str">
        <x:v>bm1688,cv186x,x86</x:v>
      </x:c>
      <x:c r="E23" s="4" t="str">
        <x:v>ALG-65</x:v>
      </x:c>
      <x:c r="F23" s="4" t="str">
        <x:v>依赖模型/正负困难真值待按设备盘点</x:v>
      </x:c>
      <x:c r="G23" s="4" t="str">
        <x:v>data/resource/aiboxresource_bm1688/algorithm_template/65_睡岗检测_1759134672.json</x:v>
      </x:c>
      <x:c r="H23" s="4" t="str">
        <x:v>未执行</x:v>
      </x:c>
      <x:c r="I23" s="12" t="str"/>
    </x:row>
    <x:row r="24" ht="40" customHeight="1">
      <x:c r="A24" s="9" t="str">
        <x:v>2935</x:v>
      </x:c>
      <x:c r="B24" s="9" t="str">
        <x:v>检测大模型</x:v>
      </x:c>
      <x:c r="C24" s="9" t="str">
        <x:v>视频</x:v>
      </x:c>
      <x:c r="D24" s="9" t="str">
        <x:v>bm1688,cv186x,x86</x:v>
      </x:c>
      <x:c r="E24" s="9" t="str">
        <x:v>ALG-2935</x:v>
      </x:c>
      <x:c r="F24" s="9" t="str">
        <x:v>依赖模型/正负困难真值待按设备盘点</x:v>
      </x:c>
      <x:c r="G24" s="9" t="str">
        <x:v>data/resource/aiboxresource_bm1688/algorithm_template/2935_检测大模型_20260413173822.json</x:v>
      </x:c>
      <x:c r="H24" s="9" t="str">
        <x:v>未执行</x:v>
      </x:c>
      <x:c r="I24" s="12" t="str"/>
    </x:row>
    <x:row r="25" ht="40" customHeight="1">
      <x:c r="A25" s="4" t="str">
        <x:v>7602</x:v>
      </x:c>
      <x:c r="B25" s="4" t="str">
        <x:v>人脸识别算法</x:v>
      </x:c>
      <x:c r="C25" s="4" t="str">
        <x:v>视频</x:v>
      </x:c>
      <x:c r="D25" s="4" t="str">
        <x:v>bm1688,cv186x,x86</x:v>
      </x:c>
      <x:c r="E25" s="4" t="str">
        <x:v>ALG-7602</x:v>
      </x:c>
      <x:c r="F25" s="4" t="str">
        <x:v>依赖模型/正负困难真值待按设备盘点</x:v>
      </x:c>
      <x:c r="G25" s="4" t="str">
        <x:v>data/resource/aiboxresource_bm1688/algorithm_template/7602_人脸识别算法_20260422103647.json</x:v>
      </x:c>
      <x:c r="H25" s="4" t="str">
        <x:v>未执行</x:v>
      </x:c>
      <x:c r="I25" s="12" t="str"/>
    </x:row>
    <x:row r="26" ht="40" customHeight="1">
      <x:c r="A26" s="9" t="str">
        <x:v>8533</x:v>
      </x:c>
      <x:c r="B26" s="9" t="str">
        <x:v>视觉检测大模型分析</x:v>
      </x:c>
      <x:c r="C26" s="9" t="str">
        <x:v>视频</x:v>
      </x:c>
      <x:c r="D26" s="9" t="str">
        <x:v>bm1688,cv186x,x86</x:v>
      </x:c>
      <x:c r="E26" s="9" t="str">
        <x:v>ALG-8533</x:v>
      </x:c>
      <x:c r="F26" s="9" t="str">
        <x:v>依赖模型/正负困难真值待按设备盘点</x:v>
      </x:c>
      <x:c r="G26" s="9" t="str">
        <x:v>data/resource/aiboxresource_bm1688/algorithm_template/8533_视觉检测大模型分析_20260413175828.json</x:v>
      </x:c>
      <x:c r="H26" s="9" t="str">
        <x:v>未执行</x:v>
      </x:c>
      <x:c r="I26" s="12" t="str"/>
    </x:row>
    <x:row r="27" ht="40" customHeight="1">
      <x:c r="A27" s="4" t="str">
        <x:v>15760</x:v>
      </x:c>
      <x:c r="B27" s="4" t="str">
        <x:v>分割大模型</x:v>
      </x:c>
      <x:c r="C27" s="4" t="str">
        <x:v>视频</x:v>
      </x:c>
      <x:c r="D27" s="4" t="str">
        <x:v>bm1688,cv186x,x86</x:v>
      </x:c>
      <x:c r="E27" s="4" t="str">
        <x:v>ALG-15760</x:v>
      </x:c>
      <x:c r="F27" s="4" t="str">
        <x:v>依赖模型/正负困难真值待按设备盘点</x:v>
      </x:c>
      <x:c r="G27" s="4" t="str">
        <x:v>data/resource/aiboxresource_bm1688/algorithm_template/15760_分割大模型_20260413173835.json</x:v>
      </x:c>
      <x:c r="H27" s="4" t="str">
        <x:v>未执行</x:v>
      </x:c>
      <x:c r="I27" s="12" t="str"/>
    </x:row>
    <x:row r="28" ht="40" customHeight="1">
      <x:c r="A28" s="9" t="str">
        <x:v>21283</x:v>
      </x:c>
      <x:c r="B28" s="9" t="str">
        <x:v>视觉分割大模型分析</x:v>
      </x:c>
      <x:c r="C28" s="9" t="str">
        <x:v>视频</x:v>
      </x:c>
      <x:c r="D28" s="9" t="str">
        <x:v>bm1688,cv186x,x86</x:v>
      </x:c>
      <x:c r="E28" s="9" t="str">
        <x:v>ALG-21283</x:v>
      </x:c>
      <x:c r="F28" s="9" t="str">
        <x:v>依赖模型/正负困难真值待按设备盘点</x:v>
      </x:c>
      <x:c r="G28" s="9" t="str">
        <x:v>data/resource/aiboxresource_bm1688/algorithm_template/21283_视觉分割大模型分析_20260413175841.json</x:v>
      </x:c>
      <x:c r="H28" s="9" t="str">
        <x:v>未执行</x:v>
      </x:c>
      <x:c r="I28" s="12" t="str"/>
    </x:row>
    <x:row r="29" ht="40" customHeight="1">
      <x:c r="A29" s="4" t="str">
        <x:v>34707</x:v>
      </x:c>
      <x:c r="B29" s="4" t="str">
        <x:v>视觉语言大模型分析</x:v>
      </x:c>
      <x:c r="C29" s="4" t="str">
        <x:v>视频</x:v>
      </x:c>
      <x:c r="D29" s="4" t="str">
        <x:v>bm1688,cv186x,x86</x:v>
      </x:c>
      <x:c r="E29" s="4" t="str">
        <x:v>ALG-34707</x:v>
      </x:c>
      <x:c r="F29" s="4" t="str">
        <x:v>依赖模型/正负困难真值待按设备盘点</x:v>
      </x:c>
      <x:c r="G29" s="4" t="str">
        <x:v>data/resource/aiboxresource_bm1688/algorithm_template/34707_视觉语言大模型分析_20260413175854.json</x:v>
      </x:c>
      <x:c r="H29" s="4" t="str">
        <x:v>未执行</x:v>
      </x:c>
      <x:c r="I29" s="12" t="str"/>
    </x:row>
    <x:row r="30" ht="40" customHeight="1">
      <x:c r="A30" s="9" t="str">
        <x:v>38873</x:v>
      </x:c>
      <x:c r="B30" s="9" t="str">
        <x:v>检测类算法</x:v>
      </x:c>
      <x:c r="C30" s="9" t="str">
        <x:v>视频</x:v>
      </x:c>
      <x:c r="D30" s="9" t="str">
        <x:v>bm1688,cv186x,x86</x:v>
      </x:c>
      <x:c r="E30" s="9" t="str">
        <x:v>ALG-38873</x:v>
      </x:c>
      <x:c r="F30" s="9" t="str">
        <x:v>依赖模型/正负困难真值待按设备盘点</x:v>
      </x:c>
      <x:c r="G30" s="9" t="str">
        <x:v>data/resource/aiboxresource_bm1688/algorithm_template/38873_检测类算法_20260413173858.json</x:v>
      </x:c>
      <x:c r="H30" s="9" t="str">
        <x:v>未执行</x:v>
      </x:c>
      <x:c r="I30" s="12" t="str"/>
    </x:row>
    <x:row r="31" ht="40" customHeight="1">
      <x:c r="A31" s="4" t="str">
        <x:v>77380</x:v>
      </x:c>
      <x:c r="B31" s="4" t="str">
        <x:v>检测后分类算法</x:v>
      </x:c>
      <x:c r="C31" s="4" t="str">
        <x:v>视频</x:v>
      </x:c>
      <x:c r="D31" s="4" t="str">
        <x:v>bm1688,cv186x,x86</x:v>
      </x:c>
      <x:c r="E31" s="4" t="str">
        <x:v>ALG-77380</x:v>
      </x:c>
      <x:c r="F31" s="4" t="str">
        <x:v>依赖模型/正负困难真值待按设备盘点</x:v>
      </x:c>
      <x:c r="G31" s="4" t="str">
        <x:v>data/resource/aiboxresource_bm1688/algorithm_template/77380_检测后分类算法_20260414160117.json</x:v>
      </x:c>
      <x:c r="H31" s="4" t="str">
        <x:v>未执行</x:v>
      </x:c>
      <x:c r="I31" s="12" t="str"/>
    </x:row>
    <x:row r="32" ht="40" customHeight="1">
      <x:c r="A32" s="9" t="str">
        <x:v>82819</x:v>
      </x:c>
      <x:c r="B32" s="9" t="str">
        <x:v>检测后分割算法</x:v>
      </x:c>
      <x:c r="C32" s="9" t="str">
        <x:v>视频</x:v>
      </x:c>
      <x:c r="D32" s="9" t="str">
        <x:v>bm1688,cv186x,x86</x:v>
      </x:c>
      <x:c r="E32" s="9" t="str">
        <x:v>ALG-82819</x:v>
      </x:c>
      <x:c r="F32" s="9" t="str">
        <x:v>依赖模型/正负困难真值待按设备盘点</x:v>
      </x:c>
      <x:c r="G32" s="9" t="str">
        <x:v>data/resource/aiboxresource_bm1688/algorithm_template/82819_检测后分割算法_20260414155302.json</x:v>
      </x:c>
      <x:c r="H32" s="9" t="str">
        <x:v>未执行</x:v>
      </x:c>
      <x:c r="I32" s="12" t="str"/>
    </x:row>
    <x:row r="33" ht="40" customHeight="1">
      <x:c r="A33" s="4" t="str">
        <x:v>89336</x:v>
      </x:c>
      <x:c r="B33" s="4" t="str">
        <x:v>视觉语言大模型</x:v>
      </x:c>
      <x:c r="C33" s="4" t="str">
        <x:v>视频</x:v>
      </x:c>
      <x:c r="D33" s="4" t="str">
        <x:v>bm1688,cv186x,x86</x:v>
      </x:c>
      <x:c r="E33" s="4" t="str">
        <x:v>ALG-89336</x:v>
      </x:c>
      <x:c r="F33" s="4" t="str">
        <x:v>依赖模型/正负困难真值待按设备盘点</x:v>
      </x:c>
      <x:c r="G33" s="4" t="str">
        <x:v>data/resource/aiboxresource_bm1688/algorithm_template/89336_视觉语言大模型_20260413173809.json</x:v>
      </x:c>
      <x:c r="H33" s="4" t="str">
        <x:v>未执行</x:v>
      </x:c>
      <x:c r="I33" s="12" t="str"/>
    </x:row>
    <x:row r="34" ht="32" customHeight="1">
      <x:c r="A34" s="9" t="str">
        <x:v>92000002</x:v>
      </x:c>
      <x:c r="B34" s="9" t="str">
        <x:v>图片人脸比对</x:v>
      </x:c>
      <x:c r="C34" s="9" t="str">
        <x:v>图片</x:v>
      </x:c>
      <x:c r="D34" s="9" t="str">
        <x:v>bm1688,cv186x,x86</x:v>
      </x:c>
      <x:c r="E34" s="9" t="str">
        <x:v>ALG-92000002</x:v>
      </x:c>
      <x:c r="F34" s="9" t="str">
        <x:v>依赖模型/正负困难真值待按设备盘点</x:v>
      </x:c>
      <x:c r="G34" s="9" t="str">
        <x:v>data/resource/aiboxresource_bm1688/algorithm_template/92000002_picture.json</x:v>
      </x:c>
      <x:c r="H34" s="9" t="str">
        <x:v>未执行</x:v>
      </x:c>
      <x:c r="I34" s="12" t="str"/>
    </x:row>
    <x:row r="35" ht="32" customHeight="1">
      <x:c r="A35" s="4" t="str">
        <x:v>92000006</x:v>
      </x:c>
      <x:c r="B35" s="4" t="str">
        <x:v>图片人员跌倒</x:v>
      </x:c>
      <x:c r="C35" s="4" t="str">
        <x:v>图片</x:v>
      </x:c>
      <x:c r="D35" s="4" t="str">
        <x:v>bm1688,cv186x,x86</x:v>
      </x:c>
      <x:c r="E35" s="4" t="str">
        <x:v>ALG-92000006</x:v>
      </x:c>
      <x:c r="F35" s="4" t="str">
        <x:v>依赖模型/正负困难真值待按设备盘点</x:v>
      </x:c>
      <x:c r="G35" s="4" t="str">
        <x:v>data/resource/aiboxresource_bm1688/algorithm_template/92000006_picture.json</x:v>
      </x:c>
      <x:c r="H35" s="4" t="str">
        <x:v>未执行</x:v>
      </x:c>
      <x:c r="I35" s="12" t="str"/>
    </x:row>
    <x:row r="36" ht="32" customHeight="1">
      <x:c r="A36" s="9" t="str">
        <x:v>92000009</x:v>
      </x:c>
      <x:c r="B36" s="9" t="str">
        <x:v>图片烟雾检测</x:v>
      </x:c>
      <x:c r="C36" s="9" t="str">
        <x:v>图片</x:v>
      </x:c>
      <x:c r="D36" s="9" t="str">
        <x:v>bm1688,cv186x,x86</x:v>
      </x:c>
      <x:c r="E36" s="9" t="str">
        <x:v>ALG-92000009</x:v>
      </x:c>
      <x:c r="F36" s="9" t="str">
        <x:v>依赖模型/正负困难真值待按设备盘点</x:v>
      </x:c>
      <x:c r="G36" s="9" t="str">
        <x:v>data/resource/aiboxresource_bm1688/algorithm_template/92000009_picture.json</x:v>
      </x:c>
      <x:c r="H36" s="9" t="str">
        <x:v>未执行</x:v>
      </x:c>
      <x:c r="I36" s="12" t="str"/>
    </x:row>
    <x:row r="37" ht="32" customHeight="1">
      <x:c r="A37" s="4" t="str">
        <x:v>92000010</x:v>
      </x:c>
      <x:c r="B37" s="4" t="str">
        <x:v>图片火焰检测</x:v>
      </x:c>
      <x:c r="C37" s="4" t="str">
        <x:v>图片</x:v>
      </x:c>
      <x:c r="D37" s="4" t="str">
        <x:v>bm1688,cv186x,x86</x:v>
      </x:c>
      <x:c r="E37" s="4" t="str">
        <x:v>ALG-92000010</x:v>
      </x:c>
      <x:c r="F37" s="4" t="str">
        <x:v>依赖模型/正负困难真值待按设备盘点</x:v>
      </x:c>
      <x:c r="G37" s="4" t="str">
        <x:v>data/resource/aiboxresource_bm1688/algorithm_template/92000010_picture.json</x:v>
      </x:c>
      <x:c r="H37" s="4" t="str">
        <x:v>未执行</x:v>
      </x:c>
      <x:c r="I37" s="12" t="str"/>
    </x:row>
    <x:row r="38" ht="32" customHeight="1">
      <x:c r="A38" s="9" t="str">
        <x:v>92000011</x:v>
      </x:c>
      <x:c r="B38" s="9" t="str">
        <x:v>图片吸烟检测</x:v>
      </x:c>
      <x:c r="C38" s="9" t="str">
        <x:v>图片</x:v>
      </x:c>
      <x:c r="D38" s="9" t="str">
        <x:v>bm1688,cv186x,x86</x:v>
      </x:c>
      <x:c r="E38" s="9" t="str">
        <x:v>ALG-92000011</x:v>
      </x:c>
      <x:c r="F38" s="9" t="str">
        <x:v>依赖模型/正负困难真值待按设备盘点</x:v>
      </x:c>
      <x:c r="G38" s="9" t="str">
        <x:v>data/resource/aiboxresource_bm1688/algorithm_template/92000011_picture.json</x:v>
      </x:c>
      <x:c r="H38" s="9" t="str">
        <x:v>未执行</x:v>
      </x:c>
      <x:c r="I38" s="12" t="str"/>
    </x:row>
    <x:row r="39" ht="32" customHeight="1">
      <x:c r="A39" s="4" t="str">
        <x:v>92000012</x:v>
      </x:c>
      <x:c r="B39" s="4" t="str">
        <x:v>图片打电话检测</x:v>
      </x:c>
      <x:c r="C39" s="4" t="str">
        <x:v>图片</x:v>
      </x:c>
      <x:c r="D39" s="4" t="str">
        <x:v>bm1688,cv186x,x86</x:v>
      </x:c>
      <x:c r="E39" s="4" t="str">
        <x:v>ALG-92000012</x:v>
      </x:c>
      <x:c r="F39" s="4" t="str">
        <x:v>依赖模型/正负困难真值待按设备盘点</x:v>
      </x:c>
      <x:c r="G39" s="4" t="str">
        <x:v>data/resource/aiboxresource_bm1688/algorithm_template/92000012_picture.json</x:v>
      </x:c>
      <x:c r="H39" s="4" t="str">
        <x:v>未执行</x:v>
      </x:c>
      <x:c r="I39" s="12" t="str"/>
    </x:row>
    <x:row r="40" ht="32" customHeight="1">
      <x:c r="A40" s="9" t="str">
        <x:v>92000015</x:v>
      </x:c>
      <x:c r="B40" s="9" t="str">
        <x:v>图片未戴安全帽</x:v>
      </x:c>
      <x:c r="C40" s="9" t="str">
        <x:v>图片</x:v>
      </x:c>
      <x:c r="D40" s="9" t="str">
        <x:v>bm1688,cv186x,x86</x:v>
      </x:c>
      <x:c r="E40" s="9" t="str">
        <x:v>ALG-92000015</x:v>
      </x:c>
      <x:c r="F40" s="9" t="str">
        <x:v>依赖模型/正负困难真值待按设备盘点</x:v>
      </x:c>
      <x:c r="G40" s="9" t="str">
        <x:v>data/resource/aiboxresource_bm1688/algorithm_template/92000015_picture.json</x:v>
      </x:c>
      <x:c r="H40" s="9" t="str">
        <x:v>未执行</x:v>
      </x:c>
      <x:c r="I40" s="12" t="str"/>
    </x:row>
    <x:row r="41" ht="32" customHeight="1">
      <x:c r="A41" s="4" t="str">
        <x:v>92000022</x:v>
      </x:c>
      <x:c r="B41" s="4" t="str">
        <x:v>图片玩手机检测</x:v>
      </x:c>
      <x:c r="C41" s="4" t="str">
        <x:v>图片</x:v>
      </x:c>
      <x:c r="D41" s="4" t="str">
        <x:v>bm1688,cv186x,x86</x:v>
      </x:c>
      <x:c r="E41" s="4" t="str">
        <x:v>ALG-92000022</x:v>
      </x:c>
      <x:c r="F41" s="4" t="str">
        <x:v>依赖模型/正负困难真值待按设备盘点</x:v>
      </x:c>
      <x:c r="G41" s="4" t="str">
        <x:v>data/resource/aiboxresource_bm1688/algorithm_template/92000022_picture.json</x:v>
      </x:c>
      <x:c r="H41" s="4" t="str">
        <x:v>未执行</x:v>
      </x:c>
      <x:c r="I41" s="12" t="str"/>
    </x:row>
    <x:row r="42" ht="32" customHeight="1">
      <x:c r="A42" s="9" t="str">
        <x:v>92000029</x:v>
      </x:c>
      <x:c r="B42" s="9" t="str">
        <x:v>图片车牌识别</x:v>
      </x:c>
      <x:c r="C42" s="9" t="str">
        <x:v>图片</x:v>
      </x:c>
      <x:c r="D42" s="9" t="str">
        <x:v>bm1688,cv186x,x86</x:v>
      </x:c>
      <x:c r="E42" s="9" t="str">
        <x:v>ALG-92000029</x:v>
      </x:c>
      <x:c r="F42" s="9" t="str">
        <x:v>依赖模型/正负困难真值待按设备盘点</x:v>
      </x:c>
      <x:c r="G42" s="9" t="str">
        <x:v>data/resource/aiboxresource_bm1688/algorithm_template/92000029_picture.json</x:v>
      </x:c>
      <x:c r="H42" s="9" t="str">
        <x:v>未执行</x:v>
      </x:c>
      <x:c r="I42" s="12" t="str"/>
    </x:row>
    <x:row r="43" ht="32" customHeight="1">
      <x:c r="A43" s="4" t="str">
        <x:v>92000032</x:v>
      </x:c>
      <x:c r="B43" s="4" t="str">
        <x:v>图片未穿反光衣</x:v>
      </x:c>
      <x:c r="C43" s="4" t="str">
        <x:v>图片</x:v>
      </x:c>
      <x:c r="D43" s="4" t="str">
        <x:v>bm1688,cv186x,x86</x:v>
      </x:c>
      <x:c r="E43" s="4" t="str">
        <x:v>ALG-92000032</x:v>
      </x:c>
      <x:c r="F43" s="4" t="str">
        <x:v>依赖模型/正负困难真值待按设备盘点</x:v>
      </x:c>
      <x:c r="G43" s="4" t="str">
        <x:v>data/resource/aiboxresource_bm1688/algorithm_template/92000032_picture.json</x:v>
      </x:c>
      <x:c r="H43" s="4" t="str">
        <x:v>未执行</x:v>
      </x:c>
      <x:c r="I43" s="12" t="str"/>
    </x:row>
    <x:row r="44" ht="32" customHeight="1">
      <x:c r="A44" s="9" t="str">
        <x:v>92000058</x:v>
      </x:c>
      <x:c r="B44" s="9" t="str">
        <x:v>图片未穿工服</x:v>
      </x:c>
      <x:c r="C44" s="9" t="str">
        <x:v>图片</x:v>
      </x:c>
      <x:c r="D44" s="9" t="str">
        <x:v>bm1688,cv186x,x86</x:v>
      </x:c>
      <x:c r="E44" s="9" t="str">
        <x:v>ALG-92000058</x:v>
      </x:c>
      <x:c r="F44" s="9" t="str">
        <x:v>依赖模型/正负困难真值待按设备盘点</x:v>
      </x:c>
      <x:c r="G44" s="9" t="str">
        <x:v>data/resource/aiboxresource_bm1688/algorithm_template/92000058_picture.json</x:v>
      </x:c>
      <x:c r="H44" s="9" t="str">
        <x:v>未执行</x:v>
      </x:c>
      <x:c r="I44" s="12" t="str"/>
    </x:row>
    <x:row r="45" ht="32" customHeight="1">
      <x:c r="A45" s="4" t="str">
        <x:v>92000065</x:v>
      </x:c>
      <x:c r="B45" s="4" t="str">
        <x:v>图片睡岗检测</x:v>
      </x:c>
      <x:c r="C45" s="4" t="str">
        <x:v>图片</x:v>
      </x:c>
      <x:c r="D45" s="4" t="str">
        <x:v>bm1688,cv186x,x86</x:v>
      </x:c>
      <x:c r="E45" s="4" t="str">
        <x:v>ALG-92000065</x:v>
      </x:c>
      <x:c r="F45" s="4" t="str">
        <x:v>依赖模型/正负困难真值待按设备盘点</x:v>
      </x:c>
      <x:c r="G45" s="4" t="str">
        <x:v>data/resource/aiboxresource_bm1688/algorithm_template/92000065_picture.json</x:v>
      </x:c>
      <x:c r="H45" s="4" t="str">
        <x:v>未执行</x:v>
      </x:c>
      <x:c r="I45" s="12" t="str"/>
    </x:row>
    <x:row r="46" ht="32" customHeight="1">
      <x:c r="A46" s="9" t="str">
        <x:v>92034707</x:v>
      </x:c>
      <x:c r="B46" s="9" t="str">
        <x:v>图片视觉语言大模型分析</x:v>
      </x:c>
      <x:c r="C46" s="9" t="str">
        <x:v>图片</x:v>
      </x:c>
      <x:c r="D46" s="9" t="str">
        <x:v>bm1688,cv186x,x86</x:v>
      </x:c>
      <x:c r="E46" s="9" t="str">
        <x:v>ALG-92034707</x:v>
      </x:c>
      <x:c r="F46" s="9" t="str">
        <x:v>依赖模型/正负困难真值待按设备盘点</x:v>
      </x:c>
      <x:c r="G46" s="9" t="str">
        <x:v>data/resource/aiboxresource_bm1688/algorithm_template/92034707_picture.json</x:v>
      </x:c>
      <x:c r="H46" s="9" t="str">
        <x:v>未执行</x:v>
      </x:c>
      <x:c r="I46" s="12" t="str"/>
    </x:row>
    <x:row r="47" ht="32" customHeight="1">
      <x:c r="A47" s="4" t="str">
        <x:v>93000002</x:v>
      </x:c>
      <x:c r="B47" s="4" t="str">
        <x:v>双图人脸比对</x:v>
      </x:c>
      <x:c r="C47" s="4" t="str">
        <x:v>双图</x:v>
      </x:c>
      <x:c r="D47" s="4" t="str">
        <x:v>bm1688,cv186x,x86</x:v>
      </x:c>
      <x:c r="E47" s="4" t="str">
        <x:v>ALG-93000002</x:v>
      </x:c>
      <x:c r="F47" s="4" t="str">
        <x:v>依赖模型/正负困难真值待按设备盘点</x:v>
      </x:c>
      <x:c r="G47" s="4" t="str">
        <x:v>data/resource/aiboxresource_bm1688/algorithm_template/93000002_pair.json</x:v>
      </x:c>
      <x:c r="H47" s="4" t="str">
        <x:v>未执行</x:v>
      </x:c>
      <x:c r="I47" s="12" t="str"/>
    </x:row>
    <x:row r="48" ht="32" customHeight="1">
      <x:c r="A48" s="9" t="str">
        <x:v>93000058</x:v>
      </x:c>
      <x:c r="B48" s="9" t="str">
        <x:v>双图工服比对</x:v>
      </x:c>
      <x:c r="C48" s="9" t="str">
        <x:v>双图</x:v>
      </x:c>
      <x:c r="D48" s="9" t="str">
        <x:v>bm1688,cv186x,x86</x:v>
      </x:c>
      <x:c r="E48" s="9" t="str">
        <x:v>ALG-93000058</x:v>
      </x:c>
      <x:c r="F48" s="9" t="str">
        <x:v>依赖模型/正负困难真值待按设备盘点</x:v>
      </x:c>
      <x:c r="G48" s="9" t="str">
        <x:v>data/resource/aiboxresource_bm1688/algorithm_template/93000058_pair.json</x:v>
      </x:c>
      <x:c r="H48" s="9" t="str">
        <x:v>未执行</x:v>
      </x:c>
      <x:c r="I48" s="12" t="str"/>
    </x:row>
    <x:row r="49" ht="65" customHeight="1">
      <x:c r="A49" s="9" t="str">
        <x:v>38874</x:v>
      </x:c>
      <x:c r="B49" s="9" t="str">
        <x:v>旋转框检测算法</x:v>
      </x:c>
      <x:c r="C49" s="9" t="str">
        <x:v>图片</x:v>
      </x:c>
      <x:c r="D49" s="9" t="str">
        <x:v>bm1688,cv186x,x86</x:v>
      </x:c>
      <x:c r="E49" s="9" t="str">
        <x:v>ALG-38874</x:v>
      </x:c>
      <x:c r="F49" s="9" t="str">
        <x:v>匹配OBB模型类别的旋转目标正负/困难样本；稳定分值目标供阈值两侧对照</x:v>
      </x:c>
      <x:c r="G49" s="9" t="str">
        <x:v>data/resource/aiboxresource_bm1688/algorithm_template/38874_yolo26_obb_20260914170000.json</x:v>
      </x:c>
      <x:c r="H49" s="9" t="str">
        <x:v>未执行</x:v>
      </x:c>
      <x:c r="I49" s="12" t="str">
        <x:v>旧区域/置信度偏移字段清理回归；各平台独立验证</x:v>
      </x:c>
    </x:row>
  </x:sheetData>
  <x:conditionalFormatting sqref="H5:H48">
    <x:cfRule type="containsText" dxfId="6" priority="1" operator="containsText" text="失败"/>
    <x:cfRule type="containsText" dxfId="7" priority="2" operator="containsText" text="阻塞"/>
  </x:conditionalFormatting>
  <x:dataValidations count="1">
    <x:dataValidation type="list" sqref="H5:H48">
      <x:formula1>"未执行,执行中,通过,失败,阻塞,不适用"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c7e1de4d66466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28" hidden="0" customWidth="1"/>
    <x:col min="3" max="3" width="37" hidden="0" customWidth="1"/>
    <x:col min="4" max="4" width="28" hidden="0" customWidth="1"/>
    <x:col min="5" max="5" width="24" hidden="0" customWidth="1"/>
    <x:col min="6" max="6" width="65" hidden="0" customWidth="1"/>
    <x:col min="7" max="7" width="65" hidden="0" customWidth="1"/>
    <x:col min="8" max="8" width="82" hidden="0" customWidth="1"/>
    <x:col min="9" max="9" width="15" hidden="0" customWidth="1"/>
    <x:col min="10" max="10" width="40" hidden="0" customWidth="1"/>
  </x:cols>
  <x:sheetData>
    <x:row r="2" ht="29" customHeight="1">
      <x:c r="A2" s="1" t="str">
        <x:v>动作、模型组件和联动组件</x:v>
      </x:c>
    </x:row>
    <x:row r="4" ht="34" customHeight="1">
      <x:c r="A4" s="8" t="str">
        <x:v>组件目录</x:v>
      </x:c>
      <x:c r="B4" s="8" t="str">
        <x:v>组件ID</x:v>
      </x:c>
      <x:c r="C4" s="8" t="str">
        <x:v>组件名称</x:v>
      </x:c>
      <x:c r="D4" s="8" t="str">
        <x:v>资源平台</x:v>
      </x:c>
      <x:c r="E4" s="8" t="str">
        <x:v>关联用例</x:v>
      </x:c>
      <x:c r="F4" s="8" t="str">
        <x:v>组件说明</x:v>
      </x:c>
      <x:c r="G4" s="8" t="str">
        <x:v>逐项验证</x:v>
      </x:c>
      <x:c r="H4" s="8" t="str">
        <x:v>源码依据</x:v>
      </x:c>
      <x:c r="I4" s="8" t="str">
        <x:v>执行状态</x:v>
      </x:c>
      <x:c r="J4" s="8" t="str">
        <x:v>评审意见</x:v>
      </x:c>
    </x:row>
    <x:row r="5" ht="32" customHeight="1">
      <x:c r="A5" s="4" t="str">
        <x:v>actions</x:v>
      </x:c>
      <x:c r="B5" s="4" t="str">
        <x:v>AA_00001</x:v>
      </x:c>
      <x:c r="C5" s="4" t="str">
        <x:v>目标检测算法</x:v>
      </x:c>
      <x:c r="D5" s="4" t="str">
        <x:v>bm1688,cv186x,x86</x:v>
      </x:c>
      <x:c r="E5" s="4" t="str">
        <x:v>FLOW-007</x:v>
      </x:c>
      <x:c r="F5" s="4" t="str">
        <x:v>检测算法，需要选择算法模型</x:v>
      </x:c>
      <x:c r="G5" s="4" t="str">
        <x:v>合法链运行；输入缺失/非法参数；保存回读；结果对应业务语义</x:v>
      </x:c>
      <x:c r="H5" s="4" t="str">
        <x:v>data/resource/aiboxresource_bm1688/layout/actions.json</x:v>
      </x:c>
      <x:c r="I5" s="4" t="str">
        <x:v>未执行</x:v>
      </x:c>
      <x:c r="J5" s="12" t="str"/>
    </x:row>
    <x:row r="6" ht="32" customHeight="1">
      <x:c r="A6" s="9" t="str">
        <x:v>actions</x:v>
      </x:c>
      <x:c r="B6" s="9" t="str">
        <x:v>AA_00002</x:v>
      </x:c>
      <x:c r="C6" s="9" t="str">
        <x:v>目标分类算法</x:v>
      </x:c>
      <x:c r="D6" s="9" t="str">
        <x:v>bm1688,cv186x,x86</x:v>
      </x:c>
      <x:c r="E6" s="9" t="str">
        <x:v>FLOW-007</x:v>
      </x:c>
      <x:c r="F6" s="9" t="str">
        <x:v>检测目标送分类算法，需要选择一个分类模型</x:v>
      </x:c>
      <x:c r="G6" s="9" t="str">
        <x:v>合法链运行；输入缺失/非法参数；保存回读；结果对应业务语义</x:v>
      </x:c>
      <x:c r="H6" s="9" t="str">
        <x:v>data/resource/aiboxresource_bm1688/layout/actions.json</x:v>
      </x:c>
      <x:c r="I6" s="9" t="str">
        <x:v>未执行</x:v>
      </x:c>
      <x:c r="J6" s="12" t="str"/>
    </x:row>
    <x:row r="7" ht="32" customHeight="1">
      <x:c r="A7" s="4" t="str">
        <x:v>actions</x:v>
      </x:c>
      <x:c r="B7" s="4" t="str">
        <x:v>AA_00003</x:v>
      </x:c>
      <x:c r="C7" s="4" t="str">
        <x:v>追踪算法</x:v>
      </x:c>
      <x:c r="D7" s="4" t="str">
        <x:v>bm1688,cv186x,x86</x:v>
      </x:c>
      <x:c r="E7" s="4" t="str">
        <x:v>FLOW-007</x:v>
      </x:c>
      <x:c r="F7" s="4" t="str">
        <x:v>需要人体追踪时放在检测算法后</x:v>
      </x:c>
      <x:c r="G7" s="4" t="str">
        <x:v>合法链运行；输入缺失/非法参数；保存回读；结果对应业务语义</x:v>
      </x:c>
      <x:c r="H7" s="4" t="str">
        <x:v>data/resource/aiboxresource_bm1688/layout/actions.json</x:v>
      </x:c>
      <x:c r="I7" s="4" t="str">
        <x:v>未执行</x:v>
      </x:c>
      <x:c r="J7" s="12" t="str"/>
    </x:row>
    <x:row r="8" ht="32" customHeight="1">
      <x:c r="A8" s="9" t="str">
        <x:v>actions</x:v>
      </x:c>
      <x:c r="B8" s="9" t="str">
        <x:v>AA_00004</x:v>
      </x:c>
      <x:c r="C8" s="9" t="str">
        <x:v>关键点算法</x:v>
      </x:c>
      <x:c r="D8" s="9" t="str">
        <x:v>bm1688,cv186x,x86</x:v>
      </x:c>
      <x:c r="E8" s="9" t="str">
        <x:v>FLOW-007</x:v>
      </x:c>
      <x:c r="F8" s="9" t="str">
        <x:v>人脸landmark</x:v>
      </x:c>
      <x:c r="G8" s="9" t="str">
        <x:v>合法链运行；输入缺失/非法参数；保存回读；结果对应业务语义</x:v>
      </x:c>
      <x:c r="H8" s="9" t="str">
        <x:v>data/resource/aiboxresource_bm1688/layout/actions.json</x:v>
      </x:c>
      <x:c r="I8" s="9" t="str">
        <x:v>未执行</x:v>
      </x:c>
      <x:c r="J8" s="12" t="str"/>
    </x:row>
    <x:row r="9" ht="32" customHeight="1">
      <x:c r="A9" s="4" t="str">
        <x:v>actions</x:v>
      </x:c>
      <x:c r="B9" s="4" t="str">
        <x:v>AA_00005</x:v>
      </x:c>
      <x:c r="C9" s="4" t="str">
        <x:v>特征提取算法</x:v>
      </x:c>
      <x:c r="D9" s="4" t="str">
        <x:v>bm1688,cv186x,x86</x:v>
      </x:c>
      <x:c r="E9" s="4" t="str">
        <x:v>FLOW-007</x:v>
      </x:c>
      <x:c r="F9" s="4" t="str">
        <x:v>支持人脸、人体、机物提取特征</x:v>
      </x:c>
      <x:c r="G9" s="4" t="str">
        <x:v>合法链运行；输入缺失/非法参数；保存回读；结果对应业务语义</x:v>
      </x:c>
      <x:c r="H9" s="4" t="str">
        <x:v>data/resource/aiboxresource_bm1688/layout/actions.json</x:v>
      </x:c>
      <x:c r="I9" s="4" t="str">
        <x:v>未执行</x:v>
      </x:c>
      <x:c r="J9" s="12" t="str"/>
    </x:row>
    <x:row r="10" ht="32" customHeight="1">
      <x:c r="A10" s="9" t="str">
        <x:v>actions</x:v>
      </x:c>
      <x:c r="B10" s="9" t="str">
        <x:v>AA_00011</x:v>
      </x:c>
      <x:c r="C10" s="9" t="str">
        <x:v>文字识别</x:v>
      </x:c>
      <x:c r="D10" s="9" t="str">
        <x:v>bm1688,cv186x,x86</x:v>
      </x:c>
      <x:c r="E10" s="9" t="str">
        <x:v>FLOW-007</x:v>
      </x:c>
      <x:c r="F10" s="9" t="str">
        <x:v>接收上游四点关键点，对车牌透视矫正后进行文字识别</x:v>
      </x:c>
      <x:c r="G10" s="9" t="str">
        <x:v>合法链运行；输入缺失/非法参数；保存回读；结果对应业务语义</x:v>
      </x:c>
      <x:c r="H10" s="9" t="str">
        <x:v>data/resource/aiboxresource_bm1688/layout/actions.json</x:v>
      </x:c>
      <x:c r="I10" s="9" t="str">
        <x:v>未执行</x:v>
      </x:c>
      <x:c r="J10" s="12" t="str"/>
    </x:row>
    <x:row r="11" ht="32" customHeight="1">
      <x:c r="A11" s="4" t="str">
        <x:v>actions</x:v>
      </x:c>
      <x:c r="B11" s="4" t="str">
        <x:v>BA_00001</x:v>
      </x:c>
      <x:c r="C11" s="4" t="str">
        <x:v>视频解码</x:v>
      </x:c>
      <x:c r="D11" s="4" t="str">
        <x:v>bm1688,cv186x,x86</x:v>
      </x:c>
      <x:c r="E11" s="4" t="str">
        <x:v>FLOW-007</x:v>
      </x:c>
      <x:c r="F11" s="4" t="str">
        <x:v>视频解码</x:v>
      </x:c>
      <x:c r="G11" s="4" t="str">
        <x:v>合法链运行；输入缺失/非法参数；保存回读；结果对应业务语义</x:v>
      </x:c>
      <x:c r="H11" s="4" t="str">
        <x:v>data/resource/aiboxresource_bm1688/layout/actions.json</x:v>
      </x:c>
      <x:c r="I11" s="4" t="str">
        <x:v>未执行</x:v>
      </x:c>
      <x:c r="J11" s="12" t="str"/>
    </x:row>
    <x:row r="12" ht="32" customHeight="1">
      <x:c r="A12" s="9" t="str">
        <x:v>actions</x:v>
      </x:c>
      <x:c r="B12" s="9" t="str">
        <x:v>BA_00002</x:v>
      </x:c>
      <x:c r="C12" s="9" t="str">
        <x:v>类别筛选</x:v>
      </x:c>
      <x:c r="D12" s="9" t="str">
        <x:v>bm1688,cv186x,x86</x:v>
      </x:c>
      <x:c r="E12" s="9" t="str">
        <x:v>FLOW-007</x:v>
      </x:c>
      <x:c r="F12" s="9" t="str">
        <x:v>对目标进行筛选</x:v>
      </x:c>
      <x:c r="G12" s="9" t="str">
        <x:v>合法链运行；输入缺失/非法参数；保存回读；结果对应业务语义</x:v>
      </x:c>
      <x:c r="H12" s="9" t="str">
        <x:v>data/resource/aiboxresource_bm1688/layout/actions.json</x:v>
      </x:c>
      <x:c r="I12" s="9" t="str">
        <x:v>未执行</x:v>
      </x:c>
      <x:c r="J12" s="12" t="str"/>
    </x:row>
    <x:row r="13" ht="32" customHeight="1">
      <x:c r="A13" s="4" t="str">
        <x:v>actions</x:v>
      </x:c>
      <x:c r="B13" s="4" t="str">
        <x:v>BA_00003</x:v>
      </x:c>
      <x:c r="C13" s="4" t="str">
        <x:v>灵敏度计算-计时</x:v>
      </x:c>
      <x:c r="D13" s="4" t="str">
        <x:v>bm1688,cv186x,x86</x:v>
      </x:c>
      <x:c r="E13" s="4" t="str">
        <x:v>FLOW-007</x:v>
      </x:c>
      <x:c r="F13" s="4" t="str">
        <x:v>灵敏度计算</x:v>
      </x:c>
      <x:c r="G13" s="4" t="str">
        <x:v>合法链运行；输入缺失/非法参数；保存回读；结果对应业务语义</x:v>
      </x:c>
      <x:c r="H13" s="4" t="str">
        <x:v>data/resource/aiboxresource_bm1688/layout/actions.json</x:v>
      </x:c>
      <x:c r="I13" s="4" t="str">
        <x:v>未执行</x:v>
      </x:c>
      <x:c r="J13" s="12" t="str"/>
    </x:row>
    <x:row r="14" ht="32" customHeight="1">
      <x:c r="A14" s="9" t="str">
        <x:v>actions</x:v>
      </x:c>
      <x:c r="B14" s="9" t="str">
        <x:v>BA_00004</x:v>
      </x:c>
      <x:c r="C14" s="9" t="str">
        <x:v>事件上报</x:v>
      </x:c>
      <x:c r="D14" s="9" t="str">
        <x:v>bm1688,cv186x,x86</x:v>
      </x:c>
      <x:c r="E14" s="9" t="str">
        <x:v>FLOW-007；EVENT-012；EVENT-013；EVENT-014</x:v>
      </x:c>
      <x:c r="F14" s="9" t="str">
        <x:v>事件上报</x:v>
      </x:c>
      <x:c r="G14" s="9" t="str">
        <x:v>合法链运行、非法参数及保存回读；审核关闭基线、本地/接口模式正例放行与反例过滤、目标ROI隔离、提示词修改、触发类边界和接口故障恢复。</x:v>
      </x:c>
      <x:c r="H14" s="9" t="str">
        <x:v>data/resource/aiboxresource_bm1688/layout/actions.json</x:v>
      </x:c>
      <x:c r="I14" s="9" t="str">
        <x:v>未执行</x:v>
      </x:c>
      <x:c r="J14" s="12" t="str"/>
    </x:row>
    <x:row r="15" ht="32" customHeight="1">
      <x:c r="A15" s="4" t="str">
        <x:v>actions</x:v>
      </x:c>
      <x:c r="B15" s="4" t="str">
        <x:v>BA_00005</x:v>
      </x:c>
      <x:c r="C15" s="4" t="str">
        <x:v>区域告警判断</x:v>
      </x:c>
      <x:c r="D15" s="4" t="str">
        <x:v>bm1688,cv186x,x86</x:v>
      </x:c>
      <x:c r="E15" s="4" t="str">
        <x:v>FLOW-007</x:v>
      </x:c>
      <x:c r="F15" s="4" t="str">
        <x:v>处理特殊区域参数，如入侵/绊线/区域人数统计等区域判断告警相关算法</x:v>
      </x:c>
      <x:c r="G15" s="4" t="str">
        <x:v>合法链运行；输入缺失/非法参数；保存回读；结果对应业务语义</x:v>
      </x:c>
      <x:c r="H15" s="4" t="str">
        <x:v>data/resource/aiboxresource_bm1688/layout/actions.json</x:v>
      </x:c>
      <x:c r="I15" s="4" t="str">
        <x:v>未执行</x:v>
      </x:c>
      <x:c r="J15" s="12" t="str"/>
    </x:row>
    <x:row r="16" ht="32" customHeight="1">
      <x:c r="A16" s="9" t="str">
        <x:v>actions</x:v>
      </x:c>
      <x:c r="B16" s="9" t="str">
        <x:v>BA_10003</x:v>
      </x:c>
      <x:c r="C16" s="9" t="str">
        <x:v>灵敏度计算-计数</x:v>
      </x:c>
      <x:c r="D16" s="9" t="str">
        <x:v>bm1688,cv186x,x86</x:v>
      </x:c>
      <x:c r="E16" s="9" t="str">
        <x:v>FLOW-007</x:v>
      </x:c>
      <x:c r="F16" s="9" t="str">
        <x:v>灵敏度计算</x:v>
      </x:c>
      <x:c r="G16" s="9" t="str">
        <x:v>合法链运行；输入缺失/非法参数；保存回读；结果对应业务语义</x:v>
      </x:c>
      <x:c r="H16" s="9" t="str">
        <x:v>data/resource/aiboxresource_bm1688/layout/actions.json</x:v>
      </x:c>
      <x:c r="I16" s="9" t="str">
        <x:v>未执行</x:v>
      </x:c>
      <x:c r="J16" s="12" t="str"/>
    </x:row>
    <x:row r="17" ht="32" customHeight="1">
      <x:c r="A17" s="4" t="str">
        <x:v>actions</x:v>
      </x:c>
      <x:c r="B17" s="4" t="str">
        <x:v>BA_90001</x:v>
      </x:c>
      <x:c r="C17" s="4" t="str">
        <x:v>目标判断</x:v>
      </x:c>
      <x:c r="D17" s="4" t="str">
        <x:v>bm1688,cv186x,x86</x:v>
      </x:c>
      <x:c r="E17" s="4" t="str">
        <x:v>FLOW-007</x:v>
      </x:c>
      <x:c r="F17" s="4" t="str">
        <x:v>目标判断</x:v>
      </x:c>
      <x:c r="G17" s="4" t="str">
        <x:v>合法链运行；输入缺失/非法参数；保存回读；结果对应业务语义</x:v>
      </x:c>
      <x:c r="H17" s="4" t="str">
        <x:v>data/resource/aiboxresource_bm1688/layout/actions.json</x:v>
      </x:c>
      <x:c r="I17" s="4" t="str">
        <x:v>未执行</x:v>
      </x:c>
      <x:c r="J17" s="12" t="str"/>
    </x:row>
    <x:row r="18" ht="32" customHeight="1">
      <x:c r="A18" s="9" t="str">
        <x:v>actions</x:v>
      </x:c>
      <x:c r="B18" s="9" t="str">
        <x:v>DA_00001</x:v>
      </x:c>
      <x:c r="C18" s="9" t="str">
        <x:v>检测视觉大模型</x:v>
      </x:c>
      <x:c r="D18" s="9" t="str">
        <x:v>bm1688,cv186x,x86</x:v>
      </x:c>
      <x:c r="E18" s="9" t="str">
        <x:v>FLOW-007</x:v>
      </x:c>
      <x:c r="F18" s="9" t="str">
        <x:v>检测视觉大模型</x:v>
      </x:c>
      <x:c r="G18" s="9" t="str">
        <x:v>合法链运行；输入缺失/非法参数；保存回读；结果对应业务语义</x:v>
      </x:c>
      <x:c r="H18" s="9" t="str">
        <x:v>data/resource/aiboxresource_bm1688/layout/actions.json</x:v>
      </x:c>
      <x:c r="I18" s="9" t="str">
        <x:v>未执行</x:v>
      </x:c>
      <x:c r="J18" s="12" t="str"/>
    </x:row>
    <x:row r="19" ht="32" customHeight="1">
      <x:c r="A19" s="4" t="str">
        <x:v>actions</x:v>
      </x:c>
      <x:c r="B19" s="4" t="str">
        <x:v>DA_00002</x:v>
      </x:c>
      <x:c r="C19" s="4" t="str">
        <x:v>分割视觉大模型</x:v>
      </x:c>
      <x:c r="D19" s="4" t="str">
        <x:v>bm1688,cv186x,x86</x:v>
      </x:c>
      <x:c r="E19" s="4" t="str">
        <x:v>FLOW-007</x:v>
      </x:c>
      <x:c r="F19" s="4" t="str">
        <x:v>分割视觉大模型</x:v>
      </x:c>
      <x:c r="G19" s="4" t="str">
        <x:v>合法链运行；输入缺失/非法参数；保存回读；结果对应业务语义</x:v>
      </x:c>
      <x:c r="H19" s="4" t="str">
        <x:v>data/resource/aiboxresource_bm1688/layout/actions.json</x:v>
      </x:c>
      <x:c r="I19" s="4" t="str">
        <x:v>未执行</x:v>
      </x:c>
      <x:c r="J19" s="12" t="str"/>
    </x:row>
    <x:row r="20" ht="32" customHeight="1">
      <x:c r="A20" s="9" t="str">
        <x:v>actions</x:v>
      </x:c>
      <x:c r="B20" s="9" t="str">
        <x:v>DA_00003</x:v>
      </x:c>
      <x:c r="C20" s="9" t="str">
        <x:v>语言视觉大模型</x:v>
      </x:c>
      <x:c r="D20" s="9" t="str">
        <x:v>bm1688,cv186x,x86</x:v>
      </x:c>
      <x:c r="E20" s="9" t="str">
        <x:v>FLOW-007</x:v>
      </x:c>
      <x:c r="F20" s="9" t="str">
        <x:v>语言视觉大模型</x:v>
      </x:c>
      <x:c r="G20" s="9" t="str">
        <x:v>合法链运行；输入缺失/非法参数；保存回读；结果对应业务语义</x:v>
      </x:c>
      <x:c r="H20" s="9" t="str">
        <x:v>data/resource/aiboxresource_bm1688/layout/actions.json</x:v>
      </x:c>
      <x:c r="I20" s="9" t="str">
        <x:v>未执行</x:v>
      </x:c>
      <x:c r="J20" s="12" t="str"/>
    </x:row>
    <x:row r="21" ht="32" customHeight="1">
      <x:c r="A21" s="4" t="str">
        <x:v>actions</x:v>
      </x:c>
      <x:c r="B21" s="4" t="str">
        <x:v>PA_00001</x:v>
      </x:c>
      <x:c r="C21" s="4" t="str">
        <x:v>目标检测算法</x:v>
      </x:c>
      <x:c r="D21" s="4" t="str">
        <x:v>bm1688,cv186x,x86</x:v>
      </x:c>
      <x:c r="E21" s="4" t="str">
        <x:v>FLOW-007</x:v>
      </x:c>
      <x:c r="F21" s="4" t="str">
        <x:v>检测算法，需要选择算法模型</x:v>
      </x:c>
      <x:c r="G21" s="4" t="str">
        <x:v>合法链运行；输入缺失/非法参数；保存回读；结果对应业务语义</x:v>
      </x:c>
      <x:c r="H21" s="4" t="str">
        <x:v>data/resource/aiboxresource_bm1688/layout/actions.json</x:v>
      </x:c>
      <x:c r="I21" s="4" t="str">
        <x:v>未执行</x:v>
      </x:c>
      <x:c r="J21" s="12" t="str"/>
    </x:row>
    <x:row r="22" ht="32" customHeight="1">
      <x:c r="A22" s="9" t="str">
        <x:v>actions</x:v>
      </x:c>
      <x:c r="B22" s="9" t="str">
        <x:v>PA_00002</x:v>
      </x:c>
      <x:c r="C22" s="9" t="str">
        <x:v>目标分类算法</x:v>
      </x:c>
      <x:c r="D22" s="9" t="str">
        <x:v>bm1688,cv186x,x86</x:v>
      </x:c>
      <x:c r="E22" s="9" t="str">
        <x:v>FLOW-007</x:v>
      </x:c>
      <x:c r="F22" s="9" t="str">
        <x:v>检测目标送分类算法，需要选择一个分类模型</x:v>
      </x:c>
      <x:c r="G22" s="9" t="str">
        <x:v>合法链运行；输入缺失/非法参数；保存回读；结果对应业务语义</x:v>
      </x:c>
      <x:c r="H22" s="9" t="str">
        <x:v>data/resource/aiboxresource_bm1688/layout/actions.json</x:v>
      </x:c>
      <x:c r="I22" s="9" t="str">
        <x:v>未执行</x:v>
      </x:c>
      <x:c r="J22" s="12" t="str"/>
    </x:row>
    <x:row r="23" ht="32" customHeight="1">
      <x:c r="A23" s="4" t="str">
        <x:v>actions</x:v>
      </x:c>
      <x:c r="B23" s="4" t="str">
        <x:v>PA_00005</x:v>
      </x:c>
      <x:c r="C23" s="4" t="str">
        <x:v>特征提取算法</x:v>
      </x:c>
      <x:c r="D23" s="4" t="str">
        <x:v>bm1688,cv186x,x86</x:v>
      </x:c>
      <x:c r="E23" s="4" t="str">
        <x:v>FLOW-007</x:v>
      </x:c>
      <x:c r="F23" s="4" t="str">
        <x:v>支持人脸、人体、机物提取特征</x:v>
      </x:c>
      <x:c r="G23" s="4" t="str">
        <x:v>合法链运行；输入缺失/非法参数；保存回读；结果对应业务语义</x:v>
      </x:c>
      <x:c r="H23" s="4" t="str">
        <x:v>data/resource/aiboxresource_bm1688/layout/actions.json</x:v>
      </x:c>
      <x:c r="I23" s="4" t="str">
        <x:v>未执行</x:v>
      </x:c>
      <x:c r="J23" s="12" t="str"/>
    </x:row>
    <x:row r="24" ht="32" customHeight="1">
      <x:c r="A24" s="9" t="str">
        <x:v>actions</x:v>
      </x:c>
      <x:c r="B24" s="9" t="str">
        <x:v>PB_90001</x:v>
      </x:c>
      <x:c r="C24" s="9" t="str">
        <x:v>图片目标判断</x:v>
      </x:c>
      <x:c r="D24" s="9" t="str">
        <x:v>bm1688,cv186x,x86</x:v>
      </x:c>
      <x:c r="E24" s="9" t="str">
        <x:v>FLOW-007</x:v>
      </x:c>
      <x:c r="F24" s="9" t="str">
        <x:v>图片目标判断</x:v>
      </x:c>
      <x:c r="G24" s="9" t="str">
        <x:v>合法链运行；输入缺失/非法参数；保存回读；结果对应业务语义</x:v>
      </x:c>
      <x:c r="H24" s="9" t="str">
        <x:v>data/resource/aiboxresource_bm1688/layout/actions.json</x:v>
      </x:c>
      <x:c r="I24" s="9" t="str">
        <x:v>未执行</x:v>
      </x:c>
      <x:c r="J24" s="12" t="str"/>
    </x:row>
    <x:row r="25" ht="32" customHeight="1">
      <x:c r="A25" s="4" t="str">
        <x:v>actions</x:v>
      </x:c>
      <x:c r="B25" s="4" t="str">
        <x:v>PDA_00001</x:v>
      </x:c>
      <x:c r="C25" s="4" t="str">
        <x:v>检测视觉大模型</x:v>
      </x:c>
      <x:c r="D25" s="4" t="str">
        <x:v>bm1688,cv186x,x86</x:v>
      </x:c>
      <x:c r="E25" s="4" t="str">
        <x:v>FLOW-007</x:v>
      </x:c>
      <x:c r="F25" s="4" t="str">
        <x:v>检测视觉大模型（图片）</x:v>
      </x:c>
      <x:c r="G25" s="4" t="str">
        <x:v>合法链运行；输入缺失/非法参数；保存回读；结果对应业务语义</x:v>
      </x:c>
      <x:c r="H25" s="4" t="str">
        <x:v>data/resource/aiboxresource_bm1688/layout/actions.json</x:v>
      </x:c>
      <x:c r="I25" s="4" t="str">
        <x:v>未执行</x:v>
      </x:c>
      <x:c r="J25" s="12" t="str"/>
    </x:row>
    <x:row r="26" ht="32" customHeight="1">
      <x:c r="A26" s="9" t="str">
        <x:v>actions</x:v>
      </x:c>
      <x:c r="B26" s="9" t="str">
        <x:v>PDA_00002</x:v>
      </x:c>
      <x:c r="C26" s="9" t="str">
        <x:v>分割视觉大模型</x:v>
      </x:c>
      <x:c r="D26" s="9" t="str">
        <x:v>bm1688,cv186x,x86</x:v>
      </x:c>
      <x:c r="E26" s="9" t="str">
        <x:v>FLOW-007</x:v>
      </x:c>
      <x:c r="F26" s="9" t="str">
        <x:v>分割视觉大模型（图片）</x:v>
      </x:c>
      <x:c r="G26" s="9" t="str">
        <x:v>合法链运行；输入缺失/非法参数；保存回读；结果对应业务语义</x:v>
      </x:c>
      <x:c r="H26" s="9" t="str">
        <x:v>data/resource/aiboxresource_bm1688/layout/actions.json</x:v>
      </x:c>
      <x:c r="I26" s="9" t="str">
        <x:v>未执行</x:v>
      </x:c>
      <x:c r="J26" s="12" t="str"/>
    </x:row>
    <x:row r="27" ht="32" customHeight="1">
      <x:c r="A27" s="4" t="str">
        <x:v>actions</x:v>
      </x:c>
      <x:c r="B27" s="4" t="str">
        <x:v>PDA_00003</x:v>
      </x:c>
      <x:c r="C27" s="4" t="str">
        <x:v>语言视觉大模型</x:v>
      </x:c>
      <x:c r="D27" s="4" t="str">
        <x:v>bm1688,cv186x,x86</x:v>
      </x:c>
      <x:c r="E27" s="4" t="str">
        <x:v>FLOW-007</x:v>
      </x:c>
      <x:c r="F27" s="4" t="str">
        <x:v>语言视觉大模型（图片）</x:v>
      </x:c>
      <x:c r="G27" s="4" t="str">
        <x:v>合法链运行；输入缺失/非法参数；保存回读；结果对应业务语义</x:v>
      </x:c>
      <x:c r="H27" s="4" t="str">
        <x:v>data/resource/aiboxresource_bm1688/layout/actions.json</x:v>
      </x:c>
      <x:c r="I27" s="4" t="str">
        <x:v>未执行</x:v>
      </x:c>
      <x:c r="J27" s="12" t="str"/>
    </x:row>
    <x:row r="28" ht="32" customHeight="1">
      <x:c r="A28" s="9" t="str">
        <x:v>actions</x:v>
      </x:c>
      <x:c r="B28" s="9" t="str">
        <x:v>PA_00004</x:v>
      </x:c>
      <x:c r="C28" s="9" t="str">
        <x:v>图片关键点</x:v>
      </x:c>
      <x:c r="D28" s="9" t="str">
        <x:v>bm1688,cv186x,x86</x:v>
      </x:c>
      <x:c r="E28" s="9" t="str">
        <x:v>FLOW-007</x:v>
      </x:c>
      <x:c r="F28" s="9" t="str">
        <x:v>图片关键点</x:v>
      </x:c>
      <x:c r="G28" s="9" t="str">
        <x:v>合法链运行；输入缺失/非法参数；保存回读；结果对应业务语义</x:v>
      </x:c>
      <x:c r="H28" s="9" t="str">
        <x:v>data/resource/aiboxresource_bm1688/layout/actions.json</x:v>
      </x:c>
      <x:c r="I28" s="9" t="str">
        <x:v>未执行</x:v>
      </x:c>
      <x:c r="J28" s="12" t="str"/>
    </x:row>
    <x:row r="29" ht="32" customHeight="1">
      <x:c r="A29" s="4" t="str">
        <x:v>actions</x:v>
      </x:c>
      <x:c r="B29" s="4" t="str">
        <x:v>PA_00011</x:v>
      </x:c>
      <x:c r="C29" s="4" t="str">
        <x:v>图片文字识别</x:v>
      </x:c>
      <x:c r="D29" s="4" t="str">
        <x:v>bm1688,cv186x,x86</x:v>
      </x:c>
      <x:c r="E29" s="4" t="str">
        <x:v>FLOW-007</x:v>
      </x:c>
      <x:c r="F29" s="4" t="str">
        <x:v>图片文字识别</x:v>
      </x:c>
      <x:c r="G29" s="4" t="str">
        <x:v>合法链运行；输入缺失/非法参数；保存回读；结果对应业务语义</x:v>
      </x:c>
      <x:c r="H29" s="4" t="str">
        <x:v>data/resource/aiboxresource_bm1688/layout/actions.json</x:v>
      </x:c>
      <x:c r="I29" s="4" t="str">
        <x:v>未执行</x:v>
      </x:c>
      <x:c r="J29" s="12" t="str"/>
    </x:row>
    <x:row r="30" ht="32" customHeight="1">
      <x:c r="A30" s="9" t="str">
        <x:v>actions</x:v>
      </x:c>
      <x:c r="B30" s="9" t="str">
        <x:v>PB_00002</x:v>
      </x:c>
      <x:c r="C30" s="9" t="str">
        <x:v>图片目标筛选</x:v>
      </x:c>
      <x:c r="D30" s="9" t="str">
        <x:v>bm1688,cv186x,x86</x:v>
      </x:c>
      <x:c r="E30" s="9" t="str">
        <x:v>FLOW-007</x:v>
      </x:c>
      <x:c r="F30" s="9" t="str">
        <x:v>图片目标筛选</x:v>
      </x:c>
      <x:c r="G30" s="9" t="str">
        <x:v>合法链运行；输入缺失/非法参数；保存回读；结果对应业务语义</x:v>
      </x:c>
      <x:c r="H30" s="9" t="str">
        <x:v>data/resource/aiboxresource_bm1688/layout/actions.json</x:v>
      </x:c>
      <x:c r="I30" s="9" t="str">
        <x:v>未执行</x:v>
      </x:c>
      <x:c r="J30" s="12" t="str"/>
    </x:row>
    <x:row r="31" ht="32" customHeight="1">
      <x:c r="A31" s="4" t="str">
        <x:v>actions</x:v>
      </x:c>
      <x:c r="B31" s="4" t="str">
        <x:v>PB_90003</x:v>
      </x:c>
      <x:c r="C31" s="4" t="str">
        <x:v>整图判断</x:v>
      </x:c>
      <x:c r="D31" s="4" t="str">
        <x:v>bm1688,cv186x,x86</x:v>
      </x:c>
      <x:c r="E31" s="4" t="str">
        <x:v>FLOW-007</x:v>
      </x:c>
      <x:c r="F31" s="4" t="str">
        <x:v>整图判断</x:v>
      </x:c>
      <x:c r="G31" s="4" t="str">
        <x:v>合法链运行；输入缺失/非法参数；保存回读；结果对应业务语义</x:v>
      </x:c>
      <x:c r="H31" s="4" t="str">
        <x:v>data/resource/aiboxresource_bm1688/layout/actions.json</x:v>
      </x:c>
      <x:c r="I31" s="4" t="str">
        <x:v>未执行</x:v>
      </x:c>
      <x:c r="J31" s="12" t="str"/>
    </x:row>
    <x:row r="32" ht="32" customHeight="1">
      <x:c r="A32" s="9" t="str">
        <x:v>actions</x:v>
      </x:c>
      <x:c r="B32" s="9" t="str">
        <x:v>PB_90002</x:v>
      </x:c>
      <x:c r="C32" s="9" t="str">
        <x:v>条件分支</x:v>
      </x:c>
      <x:c r="D32" s="9" t="str">
        <x:v>bm1688,cv186x,x86</x:v>
      </x:c>
      <x:c r="E32" s="9" t="str">
        <x:v>FLOW-007</x:v>
      </x:c>
      <x:c r="F32" s="9" t="str">
        <x:v>条件分支</x:v>
      </x:c>
      <x:c r="G32" s="9" t="str">
        <x:v>合法链运行；输入缺失/非法参数；保存回读；结果对应业务语义</x:v>
      </x:c>
      <x:c r="H32" s="9" t="str">
        <x:v>data/resource/aiboxresource_bm1688/layout/actions.json</x:v>
      </x:c>
      <x:c r="I32" s="9" t="str">
        <x:v>未执行</x:v>
      </x:c>
      <x:c r="J32" s="12" t="str"/>
    </x:row>
    <x:row r="33" ht="32" customHeight="1">
      <x:c r="A33" s="4" t="str">
        <x:v>actions</x:v>
      </x:c>
      <x:c r="B33" s="4" t="str">
        <x:v>PB_00004</x:v>
      </x:c>
      <x:c r="C33" s="4" t="str">
        <x:v>图片结果输出</x:v>
      </x:c>
      <x:c r="D33" s="4" t="str">
        <x:v>bm1688,cv186x,x86</x:v>
      </x:c>
      <x:c r="E33" s="4" t="str">
        <x:v>FLOW-007</x:v>
      </x:c>
      <x:c r="F33" s="4" t="str">
        <x:v>图片结果输出</x:v>
      </x:c>
      <x:c r="G33" s="4" t="str">
        <x:v>合法链运行；输入缺失/非法参数；保存回读；结果对应业务语义</x:v>
      </x:c>
      <x:c r="H33" s="4" t="str">
        <x:v>data/resource/aiboxresource_bm1688/layout/actions.json</x:v>
      </x:c>
      <x:c r="I33" s="4" t="str">
        <x:v>未执行</x:v>
      </x:c>
      <x:c r="J33" s="12" t="str"/>
    </x:row>
    <x:row r="34" ht="32" customHeight="1">
      <x:c r="A34" s="9" t="str">
        <x:v>actions</x:v>
      </x:c>
      <x:c r="B34" s="9" t="str">
        <x:v>PB_00006</x:v>
      </x:c>
      <x:c r="C34" s="9" t="str">
        <x:v>图片库比对</x:v>
      </x:c>
      <x:c r="D34" s="9" t="str">
        <x:v>bm1688,cv186x,x86</x:v>
      </x:c>
      <x:c r="E34" s="9" t="str">
        <x:v>FLOW-007</x:v>
      </x:c>
      <x:c r="F34" s="9" t="str">
        <x:v>图片库比对</x:v>
      </x:c>
      <x:c r="G34" s="9" t="str">
        <x:v>合法链运行；输入缺失/非法参数；保存回读；结果对应业务语义</x:v>
      </x:c>
      <x:c r="H34" s="9" t="str">
        <x:v>data/resource/aiboxresource_bm1688/layout/actions.json</x:v>
      </x:c>
      <x:c r="I34" s="9" t="str">
        <x:v>未执行</x:v>
      </x:c>
      <x:c r="J34" s="12" t="str"/>
    </x:row>
    <x:row r="35" ht="32" customHeight="1">
      <x:c r="A35" s="4" t="str">
        <x:v>actions</x:v>
      </x:c>
      <x:c r="B35" s="4" t="str">
        <x:v>PB_00007</x:v>
      </x:c>
      <x:c r="C35" s="4" t="str">
        <x:v>双图特征比对</x:v>
      </x:c>
      <x:c r="D35" s="4" t="str">
        <x:v>bm1688,cv186x,x86</x:v>
      </x:c>
      <x:c r="E35" s="4" t="str">
        <x:v>FLOW-007</x:v>
      </x:c>
      <x:c r="F35" s="4" t="str">
        <x:v>双图特征比对</x:v>
      </x:c>
      <x:c r="G35" s="4" t="str">
        <x:v>合法链运行；输入缺失/非法参数；保存回读；结果对应业务语义</x:v>
      </x:c>
      <x:c r="H35" s="4" t="str">
        <x:v>data/resource/aiboxresource_bm1688/layout/actions.json</x:v>
      </x:c>
      <x:c r="I35" s="4" t="str">
        <x:v>未执行</x:v>
      </x:c>
      <x:c r="J35" s="12" t="str"/>
    </x:row>
    <x:row r="36" ht="32" customHeight="1">
      <x:c r="A36" s="9" t="str">
        <x:v>modelComponents</x:v>
      </x:c>
      <x:c r="B36" s="9" t="str">
        <x:v>IP0001</x:v>
      </x:c>
      <x:c r="C36" s="9" t="str">
        <x:v>输入节点组件</x:v>
      </x:c>
      <x:c r="D36" s="9" t="str">
        <x:v>bm1688,cv186x,x86</x:v>
      </x:c>
      <x:c r="E36" s="9" t="str">
        <x:v>FLOW-007</x:v>
      </x:c>
      <x:c r="F36" s="9" t="str"/>
      <x:c r="G36" s="9" t="str">
        <x:v>合法链运行；输入缺失/非法参数；保存回读；结果对应业务语义</x:v>
      </x:c>
      <x:c r="H36" s="9" t="str">
        <x:v>data/resource/aiboxresource_bm1688/layout/modelComponents.json</x:v>
      </x:c>
      <x:c r="I36" s="9" t="str">
        <x:v>未执行</x:v>
      </x:c>
      <x:c r="J36" s="12" t="str"/>
    </x:row>
    <x:row r="37" ht="32" customHeight="1">
      <x:c r="A37" s="4" t="str">
        <x:v>modelComponents</x:v>
      </x:c>
      <x:c r="B37" s="4" t="str">
        <x:v>PR0001</x:v>
      </x:c>
      <x:c r="C37" s="4" t="str">
        <x:v>resize组件</x:v>
      </x:c>
      <x:c r="D37" s="4" t="str">
        <x:v>bm1688,cv186x,x86</x:v>
      </x:c>
      <x:c r="E37" s="4" t="str">
        <x:v>FLOW-007</x:v>
      </x:c>
      <x:c r="F37" s="4" t="str"/>
      <x:c r="G37" s="4" t="str">
        <x:v>合法链运行；输入缺失/非法参数；保存回读；结果对应业务语义</x:v>
      </x:c>
      <x:c r="H37" s="4" t="str">
        <x:v>data/resource/aiboxresource_bm1688/layout/modelComponents.json</x:v>
      </x:c>
      <x:c r="I37" s="4" t="str">
        <x:v>未执行</x:v>
      </x:c>
      <x:c r="J37" s="12" t="str"/>
    </x:row>
    <x:row r="38" ht="32" customHeight="1">
      <x:c r="A38" s="9" t="str">
        <x:v>modelComponents</x:v>
      </x:c>
      <x:c r="B38" s="9" t="str">
        <x:v>PR0002</x:v>
      </x:c>
      <x:c r="C38" s="9" t="str">
        <x:v>normalize组件</x:v>
      </x:c>
      <x:c r="D38" s="9" t="str">
        <x:v>bm1688,cv186x,x86</x:v>
      </x:c>
      <x:c r="E38" s="9" t="str">
        <x:v>FLOW-007</x:v>
      </x:c>
      <x:c r="F38" s="9" t="str"/>
      <x:c r="G38" s="9" t="str">
        <x:v>合法链运行；输入缺失/非法参数；保存回读；结果对应业务语义</x:v>
      </x:c>
      <x:c r="H38" s="9" t="str">
        <x:v>data/resource/aiboxresource_bm1688/layout/modelComponents.json</x:v>
      </x:c>
      <x:c r="I38" s="9" t="str">
        <x:v>未执行</x:v>
      </x:c>
      <x:c r="J38" s="12" t="str"/>
    </x:row>
    <x:row r="39" ht="32" customHeight="1">
      <x:c r="A39" s="4" t="str">
        <x:v>modelComponents</x:v>
      </x:c>
      <x:c r="B39" s="4" t="str">
        <x:v>PR0003</x:v>
      </x:c>
      <x:c r="C39" s="4" t="str">
        <x:v>crop组件</x:v>
      </x:c>
      <x:c r="D39" s="4" t="str">
        <x:v>bm1688,cv186x,x86</x:v>
      </x:c>
      <x:c r="E39" s="4" t="str">
        <x:v>FLOW-007</x:v>
      </x:c>
      <x:c r="F39" s="4" t="str"/>
      <x:c r="G39" s="4" t="str">
        <x:v>合法链运行；输入缺失/非法参数；保存回读；结果对应业务语义</x:v>
      </x:c>
      <x:c r="H39" s="4" t="str">
        <x:v>data/resource/aiboxresource_bm1688/layout/modelComponents.json</x:v>
      </x:c>
      <x:c r="I39" s="4" t="str">
        <x:v>未执行</x:v>
      </x:c>
      <x:c r="J39" s="12" t="str"/>
    </x:row>
    <x:row r="40" ht="32" customHeight="1">
      <x:c r="A40" s="9" t="str">
        <x:v>modelComponents</x:v>
      </x:c>
      <x:c r="B40" s="9" t="str">
        <x:v>PR0004</x:v>
      </x:c>
      <x:c r="C40" s="9" t="str">
        <x:v>expand组件</x:v>
      </x:c>
      <x:c r="D40" s="9" t="str">
        <x:v>bm1688,cv186x,x86</x:v>
      </x:c>
      <x:c r="E40" s="9" t="str">
        <x:v>FLOW-007</x:v>
      </x:c>
      <x:c r="F40" s="9" t="str"/>
      <x:c r="G40" s="9" t="str">
        <x:v>合法链运行；输入缺失/非法参数；保存回读；结果对应业务语义</x:v>
      </x:c>
      <x:c r="H40" s="9" t="str">
        <x:v>data/resource/aiboxresource_bm1688/layout/modelComponents.json</x:v>
      </x:c>
      <x:c r="I40" s="9" t="str">
        <x:v>未执行</x:v>
      </x:c>
      <x:c r="J40" s="12" t="str"/>
    </x:row>
    <x:row r="41" ht="32" customHeight="1">
      <x:c r="A41" s="4" t="str">
        <x:v>modelComponents</x:v>
      </x:c>
      <x:c r="B41" s="4" t="str">
        <x:v>PR0005</x:v>
      </x:c>
      <x:c r="C41" s="4" t="str">
        <x:v>affine_crop组件</x:v>
      </x:c>
      <x:c r="D41" s="4" t="str">
        <x:v>bm1688,cv186x,x86</x:v>
      </x:c>
      <x:c r="E41" s="4" t="str">
        <x:v>FLOW-007</x:v>
      </x:c>
      <x:c r="F41" s="4" t="str"/>
      <x:c r="G41" s="4" t="str">
        <x:v>合法链运行；输入缺失/非法参数；保存回读；结果对应业务语义</x:v>
      </x:c>
      <x:c r="H41" s="4" t="str">
        <x:v>data/resource/aiboxresource_bm1688/layout/modelComponents.json</x:v>
      </x:c>
      <x:c r="I41" s="4" t="str">
        <x:v>未执行</x:v>
      </x:c>
      <x:c r="J41" s="12" t="str"/>
    </x:row>
    <x:row r="42" ht="32" customHeight="1">
      <x:c r="A42" s="9" t="str">
        <x:v>modelComponents</x:v>
      </x:c>
      <x:c r="B42" s="9" t="str">
        <x:v>PR0006</x:v>
      </x:c>
      <x:c r="C42" s="9" t="str">
        <x:v>sequence组件</x:v>
      </x:c>
      <x:c r="D42" s="9" t="str">
        <x:v>bm1688,cv186x,x86</x:v>
      </x:c>
      <x:c r="E42" s="9" t="str">
        <x:v>FLOW-007</x:v>
      </x:c>
      <x:c r="F42" s="9" t="str"/>
      <x:c r="G42" s="9" t="str">
        <x:v>合法链运行；输入缺失/非法参数；保存回读；结果对应业务语义</x:v>
      </x:c>
      <x:c r="H42" s="9" t="str">
        <x:v>data/resource/aiboxresource_bm1688/layout/modelComponents.json</x:v>
      </x:c>
      <x:c r="I42" s="9" t="str">
        <x:v>未执行</x:v>
      </x:c>
      <x:c r="J42" s="12" t="str"/>
    </x:row>
    <x:row r="43" ht="32" customHeight="1">
      <x:c r="A43" s="4" t="str">
        <x:v>modelComponents</x:v>
      </x:c>
      <x:c r="B43" s="4" t="str">
        <x:v>PR0007</x:v>
      </x:c>
      <x:c r="C43" s="4" t="str">
        <x:v>combine_image组件</x:v>
      </x:c>
      <x:c r="D43" s="4" t="str">
        <x:v>bm1688,cv186x,x86</x:v>
      </x:c>
      <x:c r="E43" s="4" t="str">
        <x:v>FLOW-007</x:v>
      </x:c>
      <x:c r="F43" s="4" t="str"/>
      <x:c r="G43" s="4" t="str">
        <x:v>合法链运行；输入缺失/非法参数；保存回读；结果对应业务语义</x:v>
      </x:c>
      <x:c r="H43" s="4" t="str">
        <x:v>data/resource/aiboxresource_bm1688/layout/modelComponents.json</x:v>
      </x:c>
      <x:c r="I43" s="4" t="str">
        <x:v>未执行</x:v>
      </x:c>
      <x:c r="J43" s="12" t="str"/>
    </x:row>
    <x:row r="44" ht="32" customHeight="1">
      <x:c r="A44" s="9" t="str">
        <x:v>modelComponents</x:v>
      </x:c>
      <x:c r="B44" s="9" t="str">
        <x:v>PR0008</x:v>
      </x:c>
      <x:c r="C44" s="9" t="str">
        <x:v>dino_encode组件</x:v>
      </x:c>
      <x:c r="D44" s="9" t="str">
        <x:v>bm1688,cv186x,x86</x:v>
      </x:c>
      <x:c r="E44" s="9" t="str">
        <x:v>FLOW-007</x:v>
      </x:c>
      <x:c r="F44" s="9" t="str"/>
      <x:c r="G44" s="9" t="str">
        <x:v>合法链运行；输入缺失/非法参数；保存回读；结果对应业务语义</x:v>
      </x:c>
      <x:c r="H44" s="9" t="str">
        <x:v>data/resource/aiboxresource_bm1688/layout/modelComponents.json</x:v>
      </x:c>
      <x:c r="I44" s="9" t="str">
        <x:v>未执行</x:v>
      </x:c>
      <x:c r="J44" s="12" t="str"/>
    </x:row>
    <x:row r="45" ht="32" customHeight="1">
      <x:c r="A45" s="4" t="str">
        <x:v>modelComponents</x:v>
      </x:c>
      <x:c r="B45" s="4" t="str">
        <x:v>PT0001</x:v>
      </x:c>
      <x:c r="C45" s="4" t="str">
        <x:v>yolo_postprocess组件</x:v>
      </x:c>
      <x:c r="D45" s="4" t="str">
        <x:v>bm1688,cv186x,x86</x:v>
      </x:c>
      <x:c r="E45" s="4" t="str">
        <x:v>FLOW-007</x:v>
      </x:c>
      <x:c r="F45" s="4" t="str"/>
      <x:c r="G45" s="4" t="str">
        <x:v>合法链运行；输入缺失/非法参数；保存回读；结果对应业务语义</x:v>
      </x:c>
      <x:c r="H45" s="4" t="str">
        <x:v>data/resource/aiboxresource_bm1688/layout/modelComponents.json</x:v>
      </x:c>
      <x:c r="I45" s="4" t="str">
        <x:v>未执行</x:v>
      </x:c>
      <x:c r="J45" s="12" t="str"/>
    </x:row>
    <x:row r="46" ht="32" customHeight="1">
      <x:c r="A46" s="9" t="str">
        <x:v>modelComponents</x:v>
      </x:c>
      <x:c r="B46" s="9" t="str">
        <x:v>PT0002</x:v>
      </x:c>
      <x:c r="C46" s="9" t="str">
        <x:v>yolo_npu_postprocess组件</x:v>
      </x:c>
      <x:c r="D46" s="9" t="str">
        <x:v>bm1688,cv186x,x86</x:v>
      </x:c>
      <x:c r="E46" s="9" t="str">
        <x:v>FLOW-007</x:v>
      </x:c>
      <x:c r="F46" s="9" t="str"/>
      <x:c r="G46" s="9" t="str">
        <x:v>合法链运行；输入缺失/非法参数；保存回读；结果对应业务语义</x:v>
      </x:c>
      <x:c r="H46" s="9" t="str">
        <x:v>data/resource/aiboxresource_bm1688/layout/modelComponents.json</x:v>
      </x:c>
      <x:c r="I46" s="9" t="str">
        <x:v>未执行</x:v>
      </x:c>
      <x:c r="J46" s="12" t="str"/>
    </x:row>
    <x:row r="47" ht="32" customHeight="1">
      <x:c r="A47" s="4" t="str">
        <x:v>modelComponents</x:v>
      </x:c>
      <x:c r="B47" s="4" t="str">
        <x:v>PT0003</x:v>
      </x:c>
      <x:c r="C47" s="4" t="str">
        <x:v>yolov8_postprocess组件</x:v>
      </x:c>
      <x:c r="D47" s="4" t="str">
        <x:v>bm1688,cv186x,x86</x:v>
      </x:c>
      <x:c r="E47" s="4" t="str">
        <x:v>FLOW-007</x:v>
      </x:c>
      <x:c r="F47" s="4" t="str"/>
      <x:c r="G47" s="4" t="str">
        <x:v>合法链运行；输入缺失/非法参数；保存回读；结果对应业务语义</x:v>
      </x:c>
      <x:c r="H47" s="4" t="str">
        <x:v>data/resource/aiboxresource_bm1688/layout/modelComponents.json</x:v>
      </x:c>
      <x:c r="I47" s="4" t="str">
        <x:v>未执行</x:v>
      </x:c>
      <x:c r="J47" s="12" t="str"/>
    </x:row>
    <x:row r="48" ht="32" customHeight="1">
      <x:c r="A48" s="9" t="str">
        <x:v>modelComponents</x:v>
      </x:c>
      <x:c r="B48" s="9" t="str">
        <x:v>PT0009</x:v>
      </x:c>
      <x:c r="C48" s="9" t="str">
        <x:v>yolo_e2e_postprocess组件</x:v>
      </x:c>
      <x:c r="D48" s="9" t="str">
        <x:v>bm1688,cv186x,x86</x:v>
      </x:c>
      <x:c r="E48" s="9" t="str">
        <x:v>FLOW-007</x:v>
      </x:c>
      <x:c r="F48" s="9" t="str"/>
      <x:c r="G48" s="9" t="str">
        <x:v>合法链运行；输入缺失/非法参数；保存回读；结果对应业务语义</x:v>
      </x:c>
      <x:c r="H48" s="9" t="str">
        <x:v>data/resource/aiboxresource_bm1688/layout/modelComponents.json</x:v>
      </x:c>
      <x:c r="I48" s="9" t="str">
        <x:v>未执行</x:v>
      </x:c>
      <x:c r="J48" s="12" t="str"/>
    </x:row>
    <x:row r="49" ht="32" customHeight="1">
      <x:c r="A49" s="4" t="str">
        <x:v>modelComponents</x:v>
      </x:c>
      <x:c r="B49" s="4" t="str">
        <x:v>PT0004</x:v>
      </x:c>
      <x:c r="C49" s="4" t="str">
        <x:v>sum组件</x:v>
      </x:c>
      <x:c r="D49" s="4" t="str">
        <x:v>bm1688,cv186x,x86</x:v>
      </x:c>
      <x:c r="E49" s="4" t="str">
        <x:v>FLOW-007</x:v>
      </x:c>
      <x:c r="F49" s="4" t="str"/>
      <x:c r="G49" s="4" t="str">
        <x:v>合法链运行；输入缺失/非法参数；保存回读；结果对应业务语义</x:v>
      </x:c>
      <x:c r="H49" s="4" t="str">
        <x:v>data/resource/aiboxresource_bm1688/layout/modelComponents.json</x:v>
      </x:c>
      <x:c r="I49" s="4" t="str">
        <x:v>未执行</x:v>
      </x:c>
      <x:c r="J49" s="12" t="str"/>
    </x:row>
    <x:row r="50" ht="32" customHeight="1">
      <x:c r="A50" s="9" t="str">
        <x:v>modelComponents</x:v>
      </x:c>
      <x:c r="B50" s="9" t="str">
        <x:v>PT0005</x:v>
      </x:c>
      <x:c r="C50" s="9" t="str">
        <x:v>arg_max组件</x:v>
      </x:c>
      <x:c r="D50" s="9" t="str">
        <x:v>bm1688,cv186x,x86</x:v>
      </x:c>
      <x:c r="E50" s="9" t="str">
        <x:v>FLOW-007</x:v>
      </x:c>
      <x:c r="F50" s="9" t="str"/>
      <x:c r="G50" s="9" t="str">
        <x:v>合法链运行；输入缺失/非法参数；保存回读；结果对应业务语义</x:v>
      </x:c>
      <x:c r="H50" s="9" t="str">
        <x:v>data/resource/aiboxresource_bm1688/layout/modelComponents.json</x:v>
      </x:c>
      <x:c r="I50" s="9" t="str">
        <x:v>未执行</x:v>
      </x:c>
      <x:c r="J50" s="12" t="str"/>
    </x:row>
    <x:row r="51" ht="32" customHeight="1">
      <x:c r="A51" s="4" t="str">
        <x:v>modelComponents</x:v>
      </x:c>
      <x:c r="B51" s="4" t="str">
        <x:v>PT0006</x:v>
      </x:c>
      <x:c r="C51" s="4" t="str">
        <x:v>split组件</x:v>
      </x:c>
      <x:c r="D51" s="4" t="str">
        <x:v>bm1688,cv186x,x86</x:v>
      </x:c>
      <x:c r="E51" s="4" t="str">
        <x:v>FLOW-007</x:v>
      </x:c>
      <x:c r="F51" s="4" t="str"/>
      <x:c r="G51" s="4" t="str">
        <x:v>合法链运行；输入缺失/非法参数；保存回读；结果对应业务语义</x:v>
      </x:c>
      <x:c r="H51" s="4" t="str">
        <x:v>data/resource/aiboxresource_bm1688/layout/modelComponents.json</x:v>
      </x:c>
      <x:c r="I51" s="4" t="str">
        <x:v>未执行</x:v>
      </x:c>
      <x:c r="J51" s="12" t="str"/>
    </x:row>
    <x:row r="52" ht="32" customHeight="1">
      <x:c r="A52" s="9" t="str">
        <x:v>modelComponents</x:v>
      </x:c>
      <x:c r="B52" s="9" t="str">
        <x:v>PT0007</x:v>
      </x:c>
      <x:c r="C52" s="9" t="str">
        <x:v>split_arg_max组件</x:v>
      </x:c>
      <x:c r="D52" s="9" t="str">
        <x:v>bm1688,cv186x,x86</x:v>
      </x:c>
      <x:c r="E52" s="9" t="str">
        <x:v>FLOW-007</x:v>
      </x:c>
      <x:c r="F52" s="9" t="str"/>
      <x:c r="G52" s="9" t="str">
        <x:v>合法链运行；输入缺失/非法参数；保存回读；结果对应业务语义</x:v>
      </x:c>
      <x:c r="H52" s="9" t="str">
        <x:v>data/resource/aiboxresource_bm1688/layout/modelComponents.json</x:v>
      </x:c>
      <x:c r="I52" s="9" t="str">
        <x:v>未执行</x:v>
      </x:c>
      <x:c r="J52" s="12" t="str"/>
    </x:row>
    <x:row r="53" ht="32" customHeight="1">
      <x:c r="A53" s="4" t="str">
        <x:v>modelComponents</x:v>
      </x:c>
      <x:c r="B53" s="4" t="str">
        <x:v>PT0008</x:v>
      </x:c>
      <x:c r="C53" s="4" t="str">
        <x:v>dino_decode组件</x:v>
      </x:c>
      <x:c r="D53" s="4" t="str">
        <x:v>bm1688,cv186x,x86</x:v>
      </x:c>
      <x:c r="E53" s="4" t="str">
        <x:v>FLOW-007</x:v>
      </x:c>
      <x:c r="F53" s="4" t="str"/>
      <x:c r="G53" s="4" t="str">
        <x:v>合法链运行；输入缺失/非法参数；保存回读；结果对应业务语义</x:v>
      </x:c>
      <x:c r="H53" s="4" t="str">
        <x:v>data/resource/aiboxresource_bm1688/layout/modelComponents.json</x:v>
      </x:c>
      <x:c r="I53" s="4" t="str">
        <x:v>未执行</x:v>
      </x:c>
      <x:c r="J53" s="12" t="str"/>
    </x:row>
    <x:row r="54" ht="32" customHeight="1">
      <x:c r="A54" s="9" t="str">
        <x:v>modelComponents</x:v>
      </x:c>
      <x:c r="B54" s="9" t="str">
        <x:v>ON0001</x:v>
      </x:c>
      <x:c r="C54" s="9" t="str">
        <x:v>输出节点组件</x:v>
      </x:c>
      <x:c r="D54" s="9" t="str">
        <x:v>bm1688,cv186x,x86</x:v>
      </x:c>
      <x:c r="E54" s="9" t="str">
        <x:v>FLOW-007</x:v>
      </x:c>
      <x:c r="F54" s="9" t="str"/>
      <x:c r="G54" s="9" t="str">
        <x:v>合法链运行；输入缺失/非法参数；保存回读；结果对应业务语义</x:v>
      </x:c>
      <x:c r="H54" s="9" t="str">
        <x:v>data/resource/aiboxresource_bm1688/layout/modelComponents.json</x:v>
      </x:c>
      <x:c r="I54" s="9" t="str">
        <x:v>未执行</x:v>
      </x:c>
      <x:c r="J54" s="12" t="str"/>
    </x:row>
    <x:row r="55" ht="32" customHeight="1">
      <x:c r="A55" s="4" t="str">
        <x:v>modelComponents</x:v>
      </x:c>
      <x:c r="B55" s="4" t="str">
        <x:v>LB0001</x:v>
      </x:c>
      <x:c r="C55" s="4" t="str">
        <x:v>配置组件</x:v>
      </x:c>
      <x:c r="D55" s="4" t="str">
        <x:v>bm1688,cv186x,x86</x:v>
      </x:c>
      <x:c r="E55" s="4" t="str">
        <x:v>FLOW-007</x:v>
      </x:c>
      <x:c r="F55" s="4" t="str"/>
      <x:c r="G55" s="4" t="str">
        <x:v>合法链运行；输入缺失/非法参数；保存回读；结果对应业务语义</x:v>
      </x:c>
      <x:c r="H55" s="4" t="str">
        <x:v>data/resource/aiboxresource_bm1688/layout/modelComponents.json</x:v>
      </x:c>
      <x:c r="I55" s="4" t="str">
        <x:v>未执行</x:v>
      </x:c>
      <x:c r="J55" s="12" t="str"/>
    </x:row>
    <x:row r="56" ht="32" customHeight="1">
      <x:c r="A56" s="9" t="str">
        <x:v>linkageStorages</x:v>
      </x:c>
      <x:c r="B56" s="9" t="str">
        <x:v>LA_AlarmData_Code</x:v>
      </x:c>
      <x:c r="C56" s="9" t="str">
        <x:v>算法告警数据</x:v>
      </x:c>
      <x:c r="D56" s="9" t="str">
        <x:v>bm1688,cv186x,x86</x:v>
      </x:c>
      <x:c r="E56" s="9" t="str">
        <x:v>FLOW-007</x:v>
      </x:c>
      <x:c r="F56" s="9" t="str">
        <x:v>配置通道中的算法告警数据，用于触发联动流程</x:v>
      </x:c>
      <x:c r="G56" s="9" t="str">
        <x:v>合法链运行；输入缺失/非法参数；保存回读；结果对应业务语义</x:v>
      </x:c>
      <x:c r="H56" s="9" t="str">
        <x:v>data/resource/aiboxresource_bm1688/layout/linkageStorages.json</x:v>
      </x:c>
      <x:c r="I56" s="9" t="str">
        <x:v>未执行</x:v>
      </x:c>
      <x:c r="J56" s="12" t="str"/>
    </x:row>
    <x:row r="57" ht="32" customHeight="1">
      <x:c r="A57" s="4" t="str">
        <x:v>linkageStorages</x:v>
      </x:c>
      <x:c r="B57" s="4" t="str">
        <x:v>LA_AudioDevice_Code</x:v>
      </x:c>
      <x:c r="C57" s="4" t="str">
        <x:v>网络音柱联动</x:v>
      </x:c>
      <x:c r="D57" s="4" t="str">
        <x:v>bm1688,cv186x,x86</x:v>
      </x:c>
      <x:c r="E57" s="4" t="str">
        <x:v>FLOW-007</x:v>
      </x:c>
      <x:c r="F57" s="4" t="str">
        <x:v>配置IP音设备进行告警播报</x:v>
      </x:c>
      <x:c r="G57" s="4" t="str">
        <x:v>合法链运行；输入缺失/非法参数；保存回读；结果对应业务语义</x:v>
      </x:c>
      <x:c r="H57" s="4" t="str">
        <x:v>data/resource/aiboxresource_bm1688/layout/linkageStorages.json</x:v>
      </x:c>
      <x:c r="I57" s="4" t="str">
        <x:v>未执行</x:v>
      </x:c>
      <x:c r="J57" s="12" t="str"/>
    </x:row>
  </x:sheetData>
  <x:conditionalFormatting sqref="I5:I57">
    <x:cfRule type="containsText" dxfId="8" priority="1" operator="containsText" text="失败"/>
    <x:cfRule type="containsText" dxfId="9" priority="2" operator="containsText" text="阻塞"/>
  </x:conditionalFormatting>
  <x:dataValidations count="1">
    <x:dataValidation type="list" sqref="I5:I57">
      <x:formula1>"未执行,执行中,通过,失败,阻塞,不适用"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94ff7277614f2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0" hidden="0" customWidth="1"/>
    <x:col min="2" max="2" width="14" hidden="0" customWidth="1"/>
    <x:col min="3" max="3" width="33" hidden="0" customWidth="1"/>
    <x:col min="4" max="4" width="35" hidden="0" customWidth="1"/>
    <x:col min="5" max="5" width="58" hidden="0" customWidth="1"/>
    <x:col min="6" max="6" width="48" hidden="0" customWidth="1"/>
    <x:col min="7" max="7" width="28" hidden="0" customWidth="1"/>
    <x:col min="8" max="8" width="38" hidden="0" customWidth="1"/>
    <x:col min="9" max="9" width="80" hidden="0" customWidth="1"/>
    <x:col min="10" max="10" width="60" hidden="0" customWidth="1"/>
    <x:col min="11" max="11" width="85" hidden="0" customWidth="1"/>
    <x:col min="12" max="12" width="80" hidden="0" customWidth="1"/>
    <x:col min="13" max="13" width="35" hidden="0" customWidth="1"/>
    <x:col min="14" max="14" width="15" hidden="0" customWidth="1"/>
    <x:col min="15" max="15" width="40" hidden="0" customWidth="1"/>
  </x:cols>
  <x:sheetData>
    <x:row r="2" ht="29" customHeight="1">
      <x:c r="A2" s="1" t="str">
        <x:v>模板与组件字段展开清单</x:v>
      </x:c>
    </x:row>
    <x:row r="4" ht="34" customHeight="1">
      <x:c r="A4" s="8" t="str">
        <x:v>参数记录ID</x:v>
      </x:c>
      <x:c r="B4" s="8" t="str">
        <x:v>归属类型</x:v>
      </x:c>
      <x:c r="C4" s="8" t="str">
        <x:v>归属ID</x:v>
      </x:c>
      <x:c r="D4" s="8" t="str">
        <x:v>归属名称</x:v>
      </x:c>
      <x:c r="E4" s="8" t="str">
        <x:v>参数键</x:v>
      </x:c>
      <x:c r="F4" s="8" t="str">
        <x:v>参数名称</x:v>
      </x:c>
      <x:c r="G4" s="8" t="str">
        <x:v>资源平台</x:v>
      </x:c>
      <x:c r="H4" s="8" t="str">
        <x:v>默认值</x:v>
      </x:c>
      <x:c r="I4" s="8" t="str">
        <x:v>约束或枚举</x:v>
      </x:c>
      <x:c r="J4" s="8" t="str">
        <x:v>依赖字段</x:v>
      </x:c>
      <x:c r="K4" s="8" t="str">
        <x:v>语义描述</x:v>
      </x:c>
      <x:c r="L4" s="8" t="str">
        <x:v>输入与行为测试</x:v>
      </x:c>
      <x:c r="M4" s="8" t="str">
        <x:v>关联用例</x:v>
      </x:c>
      <x:c r="N4" s="8" t="str">
        <x:v>执行状态</x:v>
      </x:c>
      <x:c r="O4" s="8" t="str">
        <x:v>评审意见</x:v>
      </x:c>
    </x:row>
    <x:row r="5" ht="32" customHeight="1">
      <x:c r="A5" s="4" t="str">
        <x:v>PAR-0001</x:v>
      </x:c>
      <x:c r="B5" s="4" t="str">
        <x:v>模板</x:v>
      </x:c>
      <x:c r="C5" s="4" t="str">
        <x:v>10</x:v>
      </x:c>
      <x:c r="D5" s="4" t="str">
        <x:v>火焰检测</x:v>
      </x:c>
      <x:c r="E5" s="4" t="str">
        <x:v>aiParam.fire.confidence</x:v>
      </x:c>
      <x:c r="F5" s="4" t="str">
        <x:v>火焰置信度</x:v>
      </x:c>
      <x:c r="G5" s="4" t="str">
        <x:v>bm1688,cv186x,x86</x:v>
      </x:c>
      <x:c r="H5" s="4" t="str"/>
      <x:c r="I5" s="4" t="str">
        <x:v>min=; max=; regex=</x:v>
      </x:c>
      <x:c r="J5" s="4" t="str"/>
      <x:c r="K5" s="4" t="str">
        <x:v>火焰置信度，范围：0.0~1.0，限小数点后3位。</x:v>
      </x:c>
      <x:c r="L5" s="4" t="str">
        <x:v>默认/合法替代/空/非法类型；按已确认范围测min、max及相邻越界；保存回读并验证行为</x:v>
      </x:c>
      <x:c r="M5" s="4" t="str">
        <x:v>ALG-10</x:v>
      </x:c>
      <x:c r="N5" s="4" t="str">
        <x:v>未执行</x:v>
      </x:c>
      <x:c r="O5" s="12" t="str"/>
    </x:row>
    <x:row r="6" ht="32" customHeight="1">
      <x:c r="A6" s="9" t="str">
        <x:v>PAR-0002</x:v>
      </x:c>
      <x:c r="B6" s="9" t="str">
        <x:v>模板</x:v>
      </x:c>
      <x:c r="C6" s="9" t="str">
        <x:v>10</x:v>
      </x:c>
      <x:c r="D6" s="9" t="str">
        <x:v>火焰检测</x:v>
      </x:c>
      <x:c r="E6" s="9" t="str">
        <x:v>aiParam.fire.confidenceConfig</x:v>
      </x:c>
      <x:c r="F6" s="9" t="str">
        <x:v>火焰置信度偏移</x:v>
      </x:c>
      <x:c r="G6" s="9" t="str">
        <x:v>bm1688,cv186x,x86</x:v>
      </x:c>
      <x:c r="H6" s="9" t="str">
        <x:v>0,0</x:v>
      </x:c>
      <x:c r="I6" s="9" t="str">
        <x:v>min=; max=; regex=</x:v>
      </x:c>
      <x:c r="J6" s="9" t="str"/>
      <x:c r="K6" s="9" t="str">
        <x:v>火焰置信度偏移，默认为严格阈值。可选严格阈值、推荐阈值。</x:v>
      </x:c>
      <x:c r="L6" s="9" t="str">
        <x:v>默认/合法替代/空/非法类型；按已确认范围测min、max及相邻越界；保存回读并验证行为</x:v>
      </x:c>
      <x:c r="M6" s="9" t="str">
        <x:v>ALG-10</x:v>
      </x:c>
      <x:c r="N6" s="9" t="str">
        <x:v>未执行</x:v>
      </x:c>
      <x:c r="O6" s="12" t="str"/>
    </x:row>
    <x:row r="7" ht="32" customHeight="1">
      <x:c r="A7" s="4" t="str">
        <x:v>PAR-0003</x:v>
      </x:c>
      <x:c r="B7" s="4" t="str">
        <x:v>模板</x:v>
      </x:c>
      <x:c r="C7" s="4" t="str">
        <x:v>10</x:v>
      </x:c>
      <x:c r="D7" s="4" t="str">
        <x:v>火焰检测</x:v>
      </x:c>
      <x:c r="E7" s="4" t="str">
        <x:v>aiParam.fire.detPostion</x:v>
      </x:c>
      <x:c r="F7" s="4" t="str">
        <x:v>火焰检测方式</x:v>
      </x:c>
      <x:c r="G7" s="4" t="str">
        <x:v>bm1688,cv186x,x86</x:v>
      </x:c>
      <x:c r="H7" s="4" t="str">
        <x:v>1</x:v>
      </x:c>
      <x:c r="I7" s="4" t="str">
        <x:v>枚举：0,1,2</x:v>
      </x:c>
      <x:c r="J7" s="4" t="str"/>
      <x:c r="K7" s="4" t="str">
        <x:v>检测方式：定义检测框中心点的位置。默认在底部。可选顶部、底部、中心。</x:v>
      </x:c>
      <x:c r="L7" s="4" t="str">
        <x:v>依次选每个枚举；非法值；保存刷新；触发依赖字段</x:v>
      </x:c>
      <x:c r="M7" s="4" t="str">
        <x:v>ALG-10</x:v>
      </x:c>
      <x:c r="N7" s="4" t="str">
        <x:v>未执行</x:v>
      </x:c>
      <x:c r="O7" s="12" t="str"/>
    </x:row>
    <x:row r="8" ht="40" customHeight="1">
      <x:c r="A8" s="9" t="str">
        <x:v>PAR-0004</x:v>
      </x:c>
      <x:c r="B8" s="9" t="str">
        <x:v>模板</x:v>
      </x:c>
      <x:c r="C8" s="9" t="str">
        <x:v>10</x:v>
      </x:c>
      <x:c r="D8" s="9" t="str">
        <x:v>火焰检测</x:v>
      </x:c>
      <x:c r="E8" s="9" t="str">
        <x:v>filter.fire.side.min</x:v>
      </x:c>
      <x:c r="F8" s="9" t="str">
        <x:v>最小火焰尺寸</x:v>
      </x:c>
      <x:c r="G8" s="9" t="str">
        <x:v>bm1688,cv186x,x86</x:v>
      </x:c>
      <x:c r="H8" s="9" t="str">
        <x:v>60</x:v>
      </x:c>
      <x:c r="I8" s="9" t="str">
        <x:v>min=; max=; regex=/^(0|[1-9]|[1-9][0-9]|[1-9][0-9][0-9]|[1-9][0-9][0-9][0-9]|10000)$/</x:v>
      </x:c>
      <x:c r="J8" s="9" t="str"/>
      <x:c r="K8" s="9" t="str">
        <x:v>最小火焰尺寸：火焰抓拍照片的最小图像尺寸。如输入值为100，则最小火焰尺寸为100*100像素。范围：10px~1000像素 默认：100像素。</x:v>
      </x:c>
      <x:c r="L8" s="9" t="str">
        <x:v>默认/合法替代/空/非法类型；按已确认范围测min、max及相邻越界；保存回读并验证行为</x:v>
      </x:c>
      <x:c r="M8" s="9" t="str">
        <x:v>ALG-10</x:v>
      </x:c>
      <x:c r="N8" s="9" t="str">
        <x:v>未执行</x:v>
      </x:c>
      <x:c r="O8" s="12" t="str"/>
    </x:row>
    <x:row r="9" ht="40" customHeight="1">
      <x:c r="A9" s="4" t="str">
        <x:v>PAR-0005</x:v>
      </x:c>
      <x:c r="B9" s="4" t="str">
        <x:v>模板</x:v>
      </x:c>
      <x:c r="C9" s="4" t="str">
        <x:v>10</x:v>
      </x:c>
      <x:c r="D9" s="4" t="str">
        <x:v>火焰检测</x:v>
      </x:c>
      <x:c r="E9" s="4" t="str">
        <x:v>param.alarmInterval</x:v>
      </x:c>
      <x:c r="F9" s="4" t="str">
        <x:v>告警时间间隔（秒）</x:v>
      </x:c>
      <x:c r="G9" s="4" t="str">
        <x:v>bm1688,cv186x,x86</x:v>
      </x:c>
      <x:c r="H9" s="4" t="str">
        <x:v>60</x:v>
      </x:c>
      <x:c r="I9" s="4" t="str">
        <x:v>min=; max=; regex=/^([1-9]|[1-9][0-9]|[1-9][0-9][0-9]|[1-9][0-9][0-9][0-9]|[1-2][0-9][0-9][0-9][0-9]|[3][0-5][0-9][0-9][0-9]|36000)$/</x:v>
      </x:c>
      <x:c r="J9" s="4" t="str"/>
      <x:c r="K9" s="4" t="str">
        <x:v>告警时间间隔：2次告警事件的间隔。范围：1~36000秒，默认：60秒。</x:v>
      </x:c>
      <x:c r="L9" s="4" t="str">
        <x:v>默认/合法替代/空/非法类型；按已确认范围测min、max及相邻越界；保存回读并验证行为</x:v>
      </x:c>
      <x:c r="M9" s="4" t="str">
        <x:v>ALG-10</x:v>
      </x:c>
      <x:c r="N9" s="4" t="str">
        <x:v>未执行</x:v>
      </x:c>
      <x:c r="O9" s="12" t="str"/>
    </x:row>
    <x:row r="10" ht="40" customHeight="1">
      <x:c r="A10" s="9" t="str">
        <x:v>PAR-0006</x:v>
      </x:c>
      <x:c r="B10" s="9" t="str">
        <x:v>模板</x:v>
      </x:c>
      <x:c r="C10" s="9" t="str">
        <x:v>10</x:v>
      </x:c>
      <x:c r="D10" s="9" t="str">
        <x:v>火焰检测</x:v>
      </x:c>
      <x:c r="E10" s="9" t="str">
        <x:v>param.restrainSwitch</x:v>
      </x:c>
      <x:c r="F10" s="9" t="str">
        <x:v>静止目标去重</x:v>
      </x:c>
      <x:c r="G10" s="9" t="str">
        <x:v>bm1688,cv186x,x86</x:v>
      </x:c>
      <x:c r="H10" s="9" t="str">
        <x:v>0</x:v>
      </x:c>
      <x:c r="I10" s="9" t="str">
        <x:v>min=; max=; regex=/^[01]$/</x:v>
      </x:c>
      <x:c r="J10" s="9" t="str"/>
      <x:c r="K10" s="9" t="str">
        <x:v>静止目标去重：对于告警目标，开启此功能后，将进行目标静止状态检测，如判定为静止目标，则不会重复报警。</x:v>
      </x:c>
      <x:c r="L10" s="9" t="str">
        <x:v>默认/合法替代/空/非法类型；按已确认范围测min、max及相邻越界；保存回读并验证行为</x:v>
      </x:c>
      <x:c r="M10" s="9" t="str">
        <x:v>ALG-10</x:v>
      </x:c>
      <x:c r="N10" s="9" t="str">
        <x:v>未执行</x:v>
      </x:c>
      <x:c r="O10" s="12" t="str"/>
    </x:row>
    <x:row r="11" ht="32" customHeight="1">
      <x:c r="A11" s="4" t="str">
        <x:v>PAR-0007</x:v>
      </x:c>
      <x:c r="B11" s="4" t="str">
        <x:v>模板</x:v>
      </x:c>
      <x:c r="C11" s="4" t="str">
        <x:v>10</x:v>
      </x:c>
      <x:c r="D11" s="4" t="str">
        <x:v>火焰检测</x:v>
      </x:c>
      <x:c r="E11" s="4" t="str">
        <x:v>param.overlapRate</x:v>
      </x:c>
      <x:c r="F11" s="4" t="str">
        <x:v>静止目标重叠率</x:v>
      </x:c>
      <x:c r="G11" s="4" t="str">
        <x:v>bm1688,cv186x,x86</x:v>
      </x:c>
      <x:c r="H11" s="4" t="str">
        <x:v>0.2</x:v>
      </x:c>
      <x:c r="I11" s="4" t="str">
        <x:v>min=; max=; regex=/^(0(\.\d{1,3})?|1(\.0{1,3})?)$/</x:v>
      </x:c>
      <x:c r="J11" s="4" t="str">
        <x:v>{"key":"param.restrainSwitch","value":"1"}</x:v>
      </x:c>
      <x:c r="K11" s="4" t="str">
        <x:v>静止目标重叠率，范围：0.0~1.0，限小数点后3位，默认：0.2。</x:v>
      </x:c>
      <x:c r="L11" s="4" t="str">
        <x:v>默认/合法替代/空/非法类型；按已确认范围测min、max及相邻越界；保存回读并验证行为</x:v>
      </x:c>
      <x:c r="M11" s="4" t="str">
        <x:v>ALG-10</x:v>
      </x:c>
      <x:c r="N11" s="4" t="str">
        <x:v>未执行</x:v>
      </x:c>
      <x:c r="O11" s="12" t="str"/>
    </x:row>
    <x:row r="12" ht="32" customHeight="1">
      <x:c r="A12" s="9" t="str">
        <x:v>PAR-0008</x:v>
      </x:c>
      <x:c r="B12" s="9" t="str">
        <x:v>模板</x:v>
      </x:c>
      <x:c r="C12" s="9" t="str">
        <x:v>10</x:v>
      </x:c>
      <x:c r="D12" s="9" t="str">
        <x:v>火焰检测</x:v>
      </x:c>
      <x:c r="E12" s="9" t="str">
        <x:v>param.restrainTime</x:v>
      </x:c>
      <x:c r="F12" s="9" t="str">
        <x:v>静止目标去重时间(小时)</x:v>
      </x:c>
      <x:c r="G12" s="9" t="str">
        <x:v>bm1688,cv186x,x86</x:v>
      </x:c>
      <x:c r="H12" s="9" t="str">
        <x:v>6</x:v>
      </x:c>
      <x:c r="I12" s="9" t="str">
        <x:v>min=; max=; regex=/^([0-9]|[1][0-9]|[2][0-4])$/</x:v>
      </x:c>
      <x:c r="J12" s="9" t="str">
        <x:v>{"key":"param.restrainSwitch","value":"1"}</x:v>
      </x:c>
      <x:c r="K12" s="9" t="str">
        <x:v>静止目标去重时间，范围：1~24小时，默认：6小时。</x:v>
      </x:c>
      <x:c r="L12" s="9" t="str">
        <x:v>默认/合法替代/空/非法类型；按已确认范围测min、max及相邻越界；保存回读并验证行为</x:v>
      </x:c>
      <x:c r="M12" s="9" t="str">
        <x:v>ALG-10</x:v>
      </x:c>
      <x:c r="N12" s="9" t="str">
        <x:v>未执行</x:v>
      </x:c>
      <x:c r="O12" s="12" t="str"/>
    </x:row>
    <x:row r="13" ht="32" customHeight="1">
      <x:c r="A13" s="4" t="str">
        <x:v>PAR-0009</x:v>
      </x:c>
      <x:c r="B13" s="4" t="str">
        <x:v>模板</x:v>
      </x:c>
      <x:c r="C13" s="4" t="str">
        <x:v>10</x:v>
      </x:c>
      <x:c r="D13" s="4" t="str">
        <x:v>火焰检测</x:v>
      </x:c>
      <x:c r="E13" s="4" t="str">
        <x:v>param.videoRepeatCount</x:v>
      </x:c>
      <x:c r="F13" s="4" t="str">
        <x:v>离线视频播放次数</x:v>
      </x:c>
      <x:c r="G13" s="4" t="str">
        <x:v>bm1688,cv186x,x86</x:v>
      </x:c>
      <x:c r="H13" s="4" t="str">
        <x:v>1</x:v>
      </x:c>
      <x:c r="I13" s="4" t="str">
        <x:v>min=; max=; regex=</x:v>
      </x:c>
      <x:c r="J13" s="4" t="str"/>
      <x:c r="K13" s="4" t="str">
        <x:v>离线视频播放次数：0 表示无限循环，1-100 表示总播放次数。</x:v>
      </x:c>
      <x:c r="L13" s="4" t="str">
        <x:v>默认/合法替代/空/非法类型；按已确认范围测min、max及相邻越界；保存回读并验证行为</x:v>
      </x:c>
      <x:c r="M13" s="4" t="str">
        <x:v>ALG-10</x:v>
      </x:c>
      <x:c r="N13" s="4" t="str">
        <x:v>未执行</x:v>
      </x:c>
      <x:c r="O13" s="12" t="str"/>
    </x:row>
    <x:row r="14" ht="40" customHeight="1">
      <x:c r="A14" s="9" t="str">
        <x:v>PAR-0010</x:v>
      </x:c>
      <x:c r="B14" s="9" t="str">
        <x:v>模板</x:v>
      </x:c>
      <x:c r="C14" s="9" t="str">
        <x:v>10</x:v>
      </x:c>
      <x:c r="D14" s="9" t="str">
        <x:v>火焰检测</x:v>
      </x:c>
      <x:c r="E14" s="9" t="str">
        <x:v>param.videoReadFps</x:v>
      </x:c>
      <x:c r="F14" s="9" t="str">
        <x:v>离线视频播放取帧帧率</x:v>
      </x:c>
      <x:c r="G14" s="9" t="str">
        <x:v>bm1688,cv186x,x86</x:v>
      </x:c>
      <x:c r="H14" s="9" t="str">
        <x:v>-1</x:v>
      </x:c>
      <x:c r="I14" s="9" t="str">
        <x:v>min=; max=; regex=</x:v>
      </x:c>
      <x:c r="J14" s="9" t="str"/>
      <x:c r="K14" s="9" t="str">
        <x:v>离线视频有不正常帧速现象，指定该参数可以强制指定帧率。&lt;0 不强制，&gt;=0 视频取帧时强制帧率，默认：-1全帧。</x:v>
      </x:c>
      <x:c r="L14" s="9" t="str">
        <x:v>默认/合法替代/空/非法类型；按已确认范围测min、max及相邻越界；保存回读并验证行为</x:v>
      </x:c>
      <x:c r="M14" s="9" t="str">
        <x:v>ALG-10</x:v>
      </x:c>
      <x:c r="N14" s="9" t="str">
        <x:v>未执行</x:v>
      </x:c>
      <x:c r="O14" s="12" t="str"/>
    </x:row>
    <x:row r="15" ht="32" customHeight="1">
      <x:c r="A15" s="4" t="str">
        <x:v>PAR-0011</x:v>
      </x:c>
      <x:c r="B15" s="4" t="str">
        <x:v>模板</x:v>
      </x:c>
      <x:c r="C15" s="4" t="str">
        <x:v>10</x:v>
      </x:c>
      <x:c r="D15" s="4" t="str">
        <x:v>火焰检测</x:v>
      </x:c>
      <x:c r="E15" s="4" t="str">
        <x:v>aiParam.2001003.trackDynamicMatch</x:v>
      </x:c>
      <x:c r="F15" s="4" t="str">
        <x:v>火焰、烟雾检测追踪半径</x:v>
      </x:c>
      <x:c r="G15" s="4" t="str">
        <x:v>bm1688,cv186x,x86</x:v>
      </x:c>
      <x:c r="H15" s="4" t="str">
        <x:v>2.3</x:v>
      </x:c>
      <x:c r="I15" s="4" t="str">
        <x:v>min=; max=; regex=</x:v>
      </x:c>
      <x:c r="J15" s="4" t="str"/>
      <x:c r="K15" s="4" t="str">
        <x:v>追踪半径，跟追踪帧数也有关系。范围：0~100，例如：2.3</x:v>
      </x:c>
      <x:c r="L15" s="4" t="str">
        <x:v>默认/合法替代/空/非法类型；按已确认范围测min、max及相邻越界；保存回读并验证行为</x:v>
      </x:c>
      <x:c r="M15" s="4" t="str">
        <x:v>ALG-10</x:v>
      </x:c>
      <x:c r="N15" s="4" t="str">
        <x:v>未执行</x:v>
      </x:c>
      <x:c r="O15" s="12" t="str"/>
    </x:row>
    <x:row r="16" ht="40" customHeight="1">
      <x:c r="A16" s="9" t="str">
        <x:v>PAR-0012</x:v>
      </x:c>
      <x:c r="B16" s="9" t="str">
        <x:v>模板</x:v>
      </x:c>
      <x:c r="C16" s="9" t="str">
        <x:v>10</x:v>
      </x:c>
      <x:c r="D16" s="9" t="str">
        <x:v>火焰检测</x:v>
      </x:c>
      <x:c r="E16" s="9" t="str">
        <x:v>param.sensitivity</x:v>
      </x:c>
      <x:c r="F16" s="9" t="str">
        <x:v>灵敏度</x:v>
      </x:c>
      <x:c r="G16" s="9" t="str">
        <x:v>bm1688,cv186x,x86</x:v>
      </x:c>
      <x:c r="H16" s="9" t="str">
        <x:v>5</x:v>
      </x:c>
      <x:c r="I16" s="9" t="str">
        <x:v>min=; max=; regex=/^([1-9]|10)$/</x:v>
      </x:c>
      <x:c r="J16" s="9" t="str"/>
      <x:c r="K16" s="9" t="str">
        <x:v>灵敏度：用于计算总数范围内的命中数。如总数为10，取帧频率为3，则需时间≥10/3秒，才有可能产生告警。</x:v>
      </x:c>
      <x:c r="L16" s="9" t="str">
        <x:v>默认/合法替代/空/非法类型；按已确认范围测min、max及相邻越界；保存回读并验证行为</x:v>
      </x:c>
      <x:c r="M16" s="9" t="str">
        <x:v>ALG-10</x:v>
      </x:c>
      <x:c r="N16" s="9" t="str">
        <x:v>未执行</x:v>
      </x:c>
      <x:c r="O16" s="12" t="str"/>
    </x:row>
    <x:row r="17" ht="40" customHeight="1">
      <x:c r="A17" s="4" t="str">
        <x:v>PAR-0013</x:v>
      </x:c>
      <x:c r="B17" s="4" t="str">
        <x:v>模板</x:v>
      </x:c>
      <x:c r="C17" s="4" t="str">
        <x:v>10</x:v>
      </x:c>
      <x:c r="D17" s="4" t="str">
        <x:v>火焰检测</x:v>
      </x:c>
      <x:c r="E17" s="4" t="str">
        <x:v>param.detectionDuration</x:v>
      </x:c>
      <x:c r="F17" s="4" t="str">
        <x:v>检测时间（秒）</x:v>
      </x:c>
      <x:c r="G17" s="4" t="str">
        <x:v>bm1688,cv186x,x86</x:v>
      </x:c>
      <x:c r="H17" s="4" t="str">
        <x:v>2</x:v>
      </x:c>
      <x:c r="I17" s="4" t="str">
        <x:v>min=; max=; regex=/^([1-9]|[1-9][0-9]|[1-9][0-9][0-9]|[1-2][0-9][0-9][0-9]|[3][0-5][0-9][0-9]|3600)$/</x:v>
      </x:c>
      <x:c r="J17" s="4" t="str"/>
      <x:c r="K17" s="4" t="str">
        <x:v>检测时间：范围：1-3600。默认2。</x:v>
      </x:c>
      <x:c r="L17" s="4" t="str">
        <x:v>默认/合法替代/空/非法类型；按已确认范围测min、max及相邻越界；保存回读并验证行为</x:v>
      </x:c>
      <x:c r="M17" s="4" t="str">
        <x:v>ALG-10</x:v>
      </x:c>
      <x:c r="N17" s="4" t="str">
        <x:v>未执行</x:v>
      </x:c>
      <x:c r="O17" s="12" t="str"/>
    </x:row>
    <x:row r="18" ht="32" customHeight="1">
      <x:c r="A18" s="9" t="str">
        <x:v>PAR-0014</x:v>
      </x:c>
      <x:c r="B18" s="9" t="str">
        <x:v>模板</x:v>
      </x:c>
      <x:c r="C18" s="9" t="str">
        <x:v>11</x:v>
      </x:c>
      <x:c r="D18" s="9" t="str">
        <x:v>吸烟检测</x:v>
      </x:c>
      <x:c r="E18" s="9" t="str">
        <x:v>aiParam.pedestrian.confidence</x:v>
      </x:c>
      <x:c r="F18" s="9" t="str">
        <x:v>行人置信度</x:v>
      </x:c>
      <x:c r="G18" s="9" t="str">
        <x:v>bm1688,cv186x,x86</x:v>
      </x:c>
      <x:c r="H18" s="9" t="str"/>
      <x:c r="I18" s="9" t="str">
        <x:v>min=; max=; regex=</x:v>
      </x:c>
      <x:c r="J18" s="9" t="str"/>
      <x:c r="K18" s="9" t="str">
        <x:v>行人置信度，范围：0.0~1.0，限小数点后3位。</x:v>
      </x:c>
      <x:c r="L18" s="9" t="str">
        <x:v>默认/合法替代/空/非法类型；按已确认范围测min、max及相邻越界；保存回读并验证行为</x:v>
      </x:c>
      <x:c r="M18" s="9" t="str">
        <x:v>ALG-11</x:v>
      </x:c>
      <x:c r="N18" s="9" t="str">
        <x:v>未执行</x:v>
      </x:c>
      <x:c r="O18" s="12" t="str"/>
    </x:row>
    <x:row r="19" ht="32" customHeight="1">
      <x:c r="A19" s="4" t="str">
        <x:v>PAR-0015</x:v>
      </x:c>
      <x:c r="B19" s="4" t="str">
        <x:v>模板</x:v>
      </x:c>
      <x:c r="C19" s="4" t="str">
        <x:v>11</x:v>
      </x:c>
      <x:c r="D19" s="4" t="str">
        <x:v>吸烟检测</x:v>
      </x:c>
      <x:c r="E19" s="4" t="str">
        <x:v>aiParam.pedestrian.confidenceConfig</x:v>
      </x:c>
      <x:c r="F19" s="4" t="str">
        <x:v>行人置信度偏移</x:v>
      </x:c>
      <x:c r="G19" s="4" t="str">
        <x:v>bm1688,cv186x,x86</x:v>
      </x:c>
      <x:c r="H19" s="4" t="str">
        <x:v>0,0</x:v>
      </x:c>
      <x:c r="I19" s="4" t="str">
        <x:v>min=; max=; regex=</x:v>
      </x:c>
      <x:c r="J19" s="4" t="str"/>
      <x:c r="K19" s="4" t="str">
        <x:v>行人置信度偏移，默认为严格阈值。可选严格阈值、推荐阈值。</x:v>
      </x:c>
      <x:c r="L19" s="4" t="str">
        <x:v>默认/合法替代/空/非法类型；按已确认范围测min、max及相邻越界；保存回读并验证行为</x:v>
      </x:c>
      <x:c r="M19" s="4" t="str">
        <x:v>ALG-11</x:v>
      </x:c>
      <x:c r="N19" s="4" t="str">
        <x:v>未执行</x:v>
      </x:c>
      <x:c r="O19" s="12" t="str"/>
    </x:row>
    <x:row r="20" ht="32" customHeight="1">
      <x:c r="A20" s="9" t="str">
        <x:v>PAR-0016</x:v>
      </x:c>
      <x:c r="B20" s="9" t="str">
        <x:v>模板</x:v>
      </x:c>
      <x:c r="C20" s="9" t="str">
        <x:v>11</x:v>
      </x:c>
      <x:c r="D20" s="9" t="str">
        <x:v>吸烟检测</x:v>
      </x:c>
      <x:c r="E20" s="9" t="str">
        <x:v>aiParam.pedestrian.detPostion</x:v>
      </x:c>
      <x:c r="F20" s="9" t="str">
        <x:v>行人检测方式</x:v>
      </x:c>
      <x:c r="G20" s="9" t="str">
        <x:v>bm1688,cv186x,x86</x:v>
      </x:c>
      <x:c r="H20" s="9" t="str">
        <x:v>1</x:v>
      </x:c>
      <x:c r="I20" s="9" t="str">
        <x:v>枚举：0,1,2</x:v>
      </x:c>
      <x:c r="J20" s="9" t="str"/>
      <x:c r="K20" s="9" t="str">
        <x:v>检测方式：定义检测框中心点的位置。默认在底部。可选顶部、底部、中心。</x:v>
      </x:c>
      <x:c r="L20" s="9" t="str">
        <x:v>依次选每个枚举；非法值；保存刷新；触发依赖字段</x:v>
      </x:c>
      <x:c r="M20" s="9" t="str">
        <x:v>ALG-11</x:v>
      </x:c>
      <x:c r="N20" s="9" t="str">
        <x:v>未执行</x:v>
      </x:c>
      <x:c r="O20" s="12" t="str"/>
    </x:row>
    <x:row r="21" ht="32" customHeight="1">
      <x:c r="A21" s="4" t="str">
        <x:v>PAR-0017</x:v>
      </x:c>
      <x:c r="B21" s="4" t="str">
        <x:v>模板</x:v>
      </x:c>
      <x:c r="C21" s="4" t="str">
        <x:v>11</x:v>
      </x:c>
      <x:c r="D21" s="4" t="str">
        <x:v>吸烟检测</x:v>
      </x:c>
      <x:c r="E21" s="4" t="str">
        <x:v>aiParam.1001003.trackDynamicMatch</x:v>
      </x:c>
      <x:c r="F21" s="4" t="str">
        <x:v>行人检测追踪半径</x:v>
      </x:c>
      <x:c r="G21" s="4" t="str">
        <x:v>bm1688,cv186x,x86</x:v>
      </x:c>
      <x:c r="H21" s="4" t="str">
        <x:v>2.3</x:v>
      </x:c>
      <x:c r="I21" s="4" t="str">
        <x:v>min=; max=; regex=</x:v>
      </x:c>
      <x:c r="J21" s="4" t="str"/>
      <x:c r="K21" s="4" t="str">
        <x:v>追踪半径，跟追踪帧数也有关系。范围：0~100，例如：2.3</x:v>
      </x:c>
      <x:c r="L21" s="4" t="str">
        <x:v>默认/合法替代/空/非法类型；按已确认范围测min、max及相邻越界；保存回读并验证行为</x:v>
      </x:c>
      <x:c r="M21" s="4" t="str">
        <x:v>ALG-11</x:v>
      </x:c>
      <x:c r="N21" s="4" t="str">
        <x:v>未执行</x:v>
      </x:c>
      <x:c r="O21" s="12" t="str"/>
    </x:row>
    <x:row r="22" ht="32" customHeight="1">
      <x:c r="A22" s="9" t="str">
        <x:v>PAR-0018</x:v>
      </x:c>
      <x:c r="B22" s="9" t="str">
        <x:v>模板</x:v>
      </x:c>
      <x:c r="C22" s="9" t="str">
        <x:v>11</x:v>
      </x:c>
      <x:c r="D22" s="9" t="str">
        <x:v>吸烟检测</x:v>
      </x:c>
      <x:c r="E22" s="9" t="str">
        <x:v>aiParam.pedSmoking.confidence</x:v>
      </x:c>
      <x:c r="F22" s="9" t="str">
        <x:v>抽烟置信度</x:v>
      </x:c>
      <x:c r="G22" s="9" t="str">
        <x:v>bm1688,cv186x,x86</x:v>
      </x:c>
      <x:c r="H22" s="9" t="str"/>
      <x:c r="I22" s="9" t="str">
        <x:v>min=; max=; regex=</x:v>
      </x:c>
      <x:c r="J22" s="9" t="str"/>
      <x:c r="K22" s="9" t="str">
        <x:v>抽烟置信度，范围：0.0~1.0，限小数点后3位。</x:v>
      </x:c>
      <x:c r="L22" s="9" t="str">
        <x:v>默认/合法替代/空/非法类型；按已确认范围测min、max及相邻越界；保存回读并验证行为</x:v>
      </x:c>
      <x:c r="M22" s="9" t="str">
        <x:v>ALG-11</x:v>
      </x:c>
      <x:c r="N22" s="9" t="str">
        <x:v>未执行</x:v>
      </x:c>
      <x:c r="O22" s="12" t="str"/>
    </x:row>
    <x:row r="23" ht="32" customHeight="1">
      <x:c r="A23" s="4" t="str">
        <x:v>PAR-0019</x:v>
      </x:c>
      <x:c r="B23" s="4" t="str">
        <x:v>模板</x:v>
      </x:c>
      <x:c r="C23" s="4" t="str">
        <x:v>11</x:v>
      </x:c>
      <x:c r="D23" s="4" t="str">
        <x:v>吸烟检测</x:v>
      </x:c>
      <x:c r="E23" s="4" t="str">
        <x:v>aiParam.pedSmoking.confidenceConfig</x:v>
      </x:c>
      <x:c r="F23" s="4" t="str">
        <x:v>抽烟置信度偏移</x:v>
      </x:c>
      <x:c r="G23" s="4" t="str">
        <x:v>bm1688,cv186x,x86</x:v>
      </x:c>
      <x:c r="H23" s="4" t="str">
        <x:v>0,0</x:v>
      </x:c>
      <x:c r="I23" s="4" t="str">
        <x:v>min=; max=; regex=</x:v>
      </x:c>
      <x:c r="J23" s="4" t="str"/>
      <x:c r="K23" s="4" t="str">
        <x:v>抽烟置信度偏移，默认为严格阈值。可选严格阈值、推荐阈值。</x:v>
      </x:c>
      <x:c r="L23" s="4" t="str">
        <x:v>默认/合法替代/空/非法类型；按已确认范围测min、max及相邻越界；保存回读并验证行为</x:v>
      </x:c>
      <x:c r="M23" s="4" t="str">
        <x:v>ALG-11</x:v>
      </x:c>
      <x:c r="N23" s="4" t="str">
        <x:v>未执行</x:v>
      </x:c>
      <x:c r="O23" s="12" t="str"/>
    </x:row>
    <x:row r="24" ht="40" customHeight="1">
      <x:c r="A24" s="9" t="str">
        <x:v>PAR-0020</x:v>
      </x:c>
      <x:c r="B24" s="9" t="str">
        <x:v>模板</x:v>
      </x:c>
      <x:c r="C24" s="9" t="str">
        <x:v>11</x:v>
      </x:c>
      <x:c r="D24" s="9" t="str">
        <x:v>吸烟检测</x:v>
      </x:c>
      <x:c r="E24" s="9" t="str">
        <x:v>param.targetAlarmInterval</x:v>
      </x:c>
      <x:c r="F24" s="9" t="str">
        <x:v>告警时间间隔（秒）</x:v>
      </x:c>
      <x:c r="G24" s="9" t="str">
        <x:v>bm1688,cv186x,x86</x:v>
      </x:c>
      <x:c r="H24" s="9" t="str">
        <x:v>60</x:v>
      </x:c>
      <x:c r="I24" s="9" t="str">
        <x:v>min=; max=; regex=/^([1-9]|[1-9][0-9]|[1-9][0-9][0-9]|[1-9][0-9][0-9][0-9]|[1-2][0-9][0-9][0-9][0-9]|[3][0-5][0-9][0-9][0-9]|36000)$/</x:v>
      </x:c>
      <x:c r="J24" s="9" t="str"/>
      <x:c r="K24" s="9" t="str">
        <x:v>告警时间间隔：2次告警事件的间隔。范围：1~36000秒，默认：60秒。</x:v>
      </x:c>
      <x:c r="L24" s="9" t="str">
        <x:v>默认/合法替代/空/非法类型；按已确认范围测min、max及相邻越界；保存回读并验证行为</x:v>
      </x:c>
      <x:c r="M24" s="9" t="str">
        <x:v>ALG-11</x:v>
      </x:c>
      <x:c r="N24" s="9" t="str">
        <x:v>未执行</x:v>
      </x:c>
      <x:c r="O24" s="12" t="str"/>
    </x:row>
    <x:row r="25" ht="32" customHeight="1">
      <x:c r="A25" s="4" t="str">
        <x:v>PAR-0021</x:v>
      </x:c>
      <x:c r="B25" s="4" t="str">
        <x:v>模板</x:v>
      </x:c>
      <x:c r="C25" s="4" t="str">
        <x:v>11</x:v>
      </x:c>
      <x:c r="D25" s="4" t="str">
        <x:v>吸烟检测</x:v>
      </x:c>
      <x:c r="E25" s="4" t="str">
        <x:v>param.targetAlarmCount</x:v>
      </x:c>
      <x:c r="F25" s="4" t="str">
        <x:v>告警次数</x:v>
      </x:c>
      <x:c r="G25" s="4" t="str">
        <x:v>bm1688,cv186x,x86</x:v>
      </x:c>
      <x:c r="H25" s="4" t="str">
        <x:v>1</x:v>
      </x:c>
      <x:c r="I25" s="4" t="str">
        <x:v>min=; max=; regex=/^(0|[1-9]|[1-9][0-9]|100)$/</x:v>
      </x:c>
      <x:c r="J25" s="4" t="str"/>
      <x:c r="K25" s="4" t="str">
        <x:v>告警次数：范围：0-100，默认为1。0表示不限次数。</x:v>
      </x:c>
      <x:c r="L25" s="4" t="str">
        <x:v>默认/合法替代/空/非法类型；按已确认范围测min、max及相邻越界；保存回读并验证行为</x:v>
      </x:c>
      <x:c r="M25" s="4" t="str">
        <x:v>ALG-11</x:v>
      </x:c>
      <x:c r="N25" s="4" t="str">
        <x:v>未执行</x:v>
      </x:c>
      <x:c r="O25" s="12" t="str"/>
    </x:row>
    <x:row r="26" ht="40" customHeight="1">
      <x:c r="A26" s="9" t="str">
        <x:v>PAR-0022</x:v>
      </x:c>
      <x:c r="B26" s="9" t="str">
        <x:v>模板</x:v>
      </x:c>
      <x:c r="C26" s="9" t="str">
        <x:v>11</x:v>
      </x:c>
      <x:c r="D26" s="9" t="str">
        <x:v>吸烟检测</x:v>
      </x:c>
      <x:c r="E26" s="9" t="str">
        <x:v>param.restrainSwitch</x:v>
      </x:c>
      <x:c r="F26" s="9" t="str">
        <x:v>静止目标去重</x:v>
      </x:c>
      <x:c r="G26" s="9" t="str">
        <x:v>bm1688,cv186x,x86</x:v>
      </x:c>
      <x:c r="H26" s="9" t="str">
        <x:v>0</x:v>
      </x:c>
      <x:c r="I26" s="9" t="str">
        <x:v>min=; max=; regex=/^[01]$/</x:v>
      </x:c>
      <x:c r="J26" s="9" t="str"/>
      <x:c r="K26" s="9" t="str">
        <x:v>静止目标去重：对于告警目标，开启此功能后，将进行目标静止状态检测，如判定为静止目标，则不会重复报警。</x:v>
      </x:c>
      <x:c r="L26" s="9" t="str">
        <x:v>默认/合法替代/空/非法类型；按已确认范围测min、max及相邻越界；保存回读并验证行为</x:v>
      </x:c>
      <x:c r="M26" s="9" t="str">
        <x:v>ALG-11</x:v>
      </x:c>
      <x:c r="N26" s="9" t="str">
        <x:v>未执行</x:v>
      </x:c>
      <x:c r="O26" s="12" t="str"/>
    </x:row>
    <x:row r="27" ht="32" customHeight="1">
      <x:c r="A27" s="4" t="str">
        <x:v>PAR-0023</x:v>
      </x:c>
      <x:c r="B27" s="4" t="str">
        <x:v>模板</x:v>
      </x:c>
      <x:c r="C27" s="4" t="str">
        <x:v>11</x:v>
      </x:c>
      <x:c r="D27" s="4" t="str">
        <x:v>吸烟检测</x:v>
      </x:c>
      <x:c r="E27" s="4" t="str">
        <x:v>param.overlapRate</x:v>
      </x:c>
      <x:c r="F27" s="4" t="str">
        <x:v>静止目标重叠率</x:v>
      </x:c>
      <x:c r="G27" s="4" t="str">
        <x:v>bm1688,cv186x,x86</x:v>
      </x:c>
      <x:c r="H27" s="4" t="str">
        <x:v>0.2</x:v>
      </x:c>
      <x:c r="I27" s="4" t="str">
        <x:v>min=; max=; regex=/^(0(\.\d{1,3})?|1(\.0{1,3})?)$/</x:v>
      </x:c>
      <x:c r="J27" s="4" t="str">
        <x:v>{"key":"param.restrainSwitch","value":"1"}</x:v>
      </x:c>
      <x:c r="K27" s="4" t="str">
        <x:v>静止目标重叠率，范围：0.0~1.0，限小数点后3位，默认：0.2。</x:v>
      </x:c>
      <x:c r="L27" s="4" t="str">
        <x:v>默认/合法替代/空/非法类型；按已确认范围测min、max及相邻越界；保存回读并验证行为</x:v>
      </x:c>
      <x:c r="M27" s="4" t="str">
        <x:v>ALG-11</x:v>
      </x:c>
      <x:c r="N27" s="4" t="str">
        <x:v>未执行</x:v>
      </x:c>
      <x:c r="O27" s="12" t="str"/>
    </x:row>
    <x:row r="28" ht="32" customHeight="1">
      <x:c r="A28" s="9" t="str">
        <x:v>PAR-0024</x:v>
      </x:c>
      <x:c r="B28" s="9" t="str">
        <x:v>模板</x:v>
      </x:c>
      <x:c r="C28" s="9" t="str">
        <x:v>11</x:v>
      </x:c>
      <x:c r="D28" s="9" t="str">
        <x:v>吸烟检测</x:v>
      </x:c>
      <x:c r="E28" s="9" t="str">
        <x:v>param.restrainTime</x:v>
      </x:c>
      <x:c r="F28" s="9" t="str">
        <x:v>静止目标去重时间(小时)</x:v>
      </x:c>
      <x:c r="G28" s="9" t="str">
        <x:v>bm1688,cv186x,x86</x:v>
      </x:c>
      <x:c r="H28" s="9" t="str">
        <x:v>6</x:v>
      </x:c>
      <x:c r="I28" s="9" t="str">
        <x:v>min=; max=; regex=/^([0-9]|[1][0-9]|[2][0-4])$/</x:v>
      </x:c>
      <x:c r="J28" s="9" t="str">
        <x:v>{"key":"param.restrainSwitch","value":"1"}</x:v>
      </x:c>
      <x:c r="K28" s="9" t="str">
        <x:v>静止目标去重时间，范围：1~24小时，默认：6小时。</x:v>
      </x:c>
      <x:c r="L28" s="9" t="str">
        <x:v>默认/合法替代/空/非法类型；按已确认范围测min、max及相邻越界；保存回读并验证行为</x:v>
      </x:c>
      <x:c r="M28" s="9" t="str">
        <x:v>ALG-11</x:v>
      </x:c>
      <x:c r="N28" s="9" t="str">
        <x:v>未执行</x:v>
      </x:c>
      <x:c r="O28" s="12" t="str"/>
    </x:row>
    <x:row r="29" ht="32" customHeight="1">
      <x:c r="A29" s="4" t="str">
        <x:v>PAR-0025</x:v>
      </x:c>
      <x:c r="B29" s="4" t="str">
        <x:v>模板</x:v>
      </x:c>
      <x:c r="C29" s="4" t="str">
        <x:v>11</x:v>
      </x:c>
      <x:c r="D29" s="4" t="str">
        <x:v>吸烟检测</x:v>
      </x:c>
      <x:c r="E29" s="4" t="str">
        <x:v>param.overlayTrajectory</x:v>
      </x:c>
      <x:c r="F29" s="4" t="str">
        <x:v>全景图叠加轨迹</x:v>
      </x:c>
      <x:c r="G29" s="4" t="str">
        <x:v>bm1688,cv186x,x86</x:v>
      </x:c>
      <x:c r="H29" s="4" t="str">
        <x:v>0</x:v>
      </x:c>
      <x:c r="I29" s="4" t="str">
        <x:v>min=; max=; regex=/^[01]$/</x:v>
      </x:c>
      <x:c r="J29" s="4" t="str"/>
      <x:c r="K29" s="4" t="str">
        <x:v>打开后会在全景图上叠加目标运动轨迹</x:v>
      </x:c>
      <x:c r="L29" s="4" t="str">
        <x:v>默认/合法替代/空/非法类型；按已确认范围测min、max及相邻越界；保存回读并验证行为</x:v>
      </x:c>
      <x:c r="M29" s="4" t="str">
        <x:v>ALG-11</x:v>
      </x:c>
      <x:c r="N29" s="4" t="str">
        <x:v>未执行</x:v>
      </x:c>
      <x:c r="O29" s="12" t="str"/>
    </x:row>
    <x:row r="30" ht="40" customHeight="1">
      <x:c r="A30" s="9" t="str">
        <x:v>PAR-0026</x:v>
      </x:c>
      <x:c r="B30" s="9" t="str">
        <x:v>模板</x:v>
      </x:c>
      <x:c r="C30" s="9" t="str">
        <x:v>11</x:v>
      </x:c>
      <x:c r="D30" s="9" t="str">
        <x:v>吸烟检测</x:v>
      </x:c>
      <x:c r="E30" s="9" t="str">
        <x:v>filter.pedestrian.side.min</x:v>
      </x:c>
      <x:c r="F30" s="9" t="str">
        <x:v>最小行人尺寸</x:v>
      </x:c>
      <x:c r="G30" s="9" t="str">
        <x:v>bm1688,cv186x,x86</x:v>
      </x:c>
      <x:c r="H30" s="9" t="str">
        <x:v>60</x:v>
      </x:c>
      <x:c r="I30" s="9" t="str">
        <x:v>min=; max=; regex=/^(0|[1-9]|[1-9][0-9]|[1-9][0-9][0-9]|[1-9][0-9][0-9][0-9]|10000)$/</x:v>
      </x:c>
      <x:c r="J30" s="9" t="str"/>
      <x:c r="K30" s="9" t="str">
        <x:v>最小行人尺寸：行人抓拍照片的最小图像尺寸。如输入值为100，则最小行人尺寸为100*100像素。范围：10px~1000像素 默认：100像素。</x:v>
      </x:c>
      <x:c r="L30" s="9" t="str">
        <x:v>默认/合法替代/空/非法类型；按已确认范围测min、max及相邻越界；保存回读并验证行为</x:v>
      </x:c>
      <x:c r="M30" s="9" t="str">
        <x:v>ALG-11</x:v>
      </x:c>
      <x:c r="N30" s="9" t="str">
        <x:v>未执行</x:v>
      </x:c>
      <x:c r="O30" s="12" t="str"/>
    </x:row>
    <x:row r="31" ht="40" customHeight="1">
      <x:c r="A31" s="4" t="str">
        <x:v>PAR-0027</x:v>
      </x:c>
      <x:c r="B31" s="4" t="str">
        <x:v>模板</x:v>
      </x:c>
      <x:c r="C31" s="4" t="str">
        <x:v>11</x:v>
      </x:c>
      <x:c r="D31" s="4" t="str">
        <x:v>吸烟检测</x:v>
      </x:c>
      <x:c r="E31" s="4" t="str">
        <x:v>param.sensitivity</x:v>
      </x:c>
      <x:c r="F31" s="4" t="str">
        <x:v>灵敏度</x:v>
      </x:c>
      <x:c r="G31" s="4" t="str">
        <x:v>bm1688,cv186x,x86</x:v>
      </x:c>
      <x:c r="H31" s="4" t="str">
        <x:v>5</x:v>
      </x:c>
      <x:c r="I31" s="4" t="str">
        <x:v>min=; max=; regex=/^([1-9]|10)$/</x:v>
      </x:c>
      <x:c r="J31" s="4" t="str"/>
      <x:c r="K31" s="4" t="str">
        <x:v>灵敏度：用于计算总数范围内的命中数。如总数为10，取帧频率为3，则需时间≥10/3秒，才有可能产生告警。</x:v>
      </x:c>
      <x:c r="L31" s="4" t="str">
        <x:v>默认/合法替代/空/非法类型；按已确认范围测min、max及相邻越界；保存回读并验证行为</x:v>
      </x:c>
      <x:c r="M31" s="4" t="str">
        <x:v>ALG-11</x:v>
      </x:c>
      <x:c r="N31" s="4" t="str">
        <x:v>未执行</x:v>
      </x:c>
      <x:c r="O31" s="12" t="str"/>
    </x:row>
    <x:row r="32" ht="40" customHeight="1">
      <x:c r="A32" s="9" t="str">
        <x:v>PAR-0028</x:v>
      </x:c>
      <x:c r="B32" s="9" t="str">
        <x:v>模板</x:v>
      </x:c>
      <x:c r="C32" s="9" t="str">
        <x:v>11</x:v>
      </x:c>
      <x:c r="D32" s="9" t="str">
        <x:v>吸烟检测</x:v>
      </x:c>
      <x:c r="E32" s="9" t="str">
        <x:v>param.detectionDuration</x:v>
      </x:c>
      <x:c r="F32" s="9" t="str">
        <x:v>检测时间（秒）</x:v>
      </x:c>
      <x:c r="G32" s="9" t="str">
        <x:v>bm1688,cv186x,x86</x:v>
      </x:c>
      <x:c r="H32" s="9" t="str">
        <x:v>2</x:v>
      </x:c>
      <x:c r="I32" s="9" t="str">
        <x:v>min=; max=; regex=/^([1-9]|[1-9][0-9]|[1-9][0-9][0-9]|[1-2][0-9][0-9][0-9]|[3][0-5][0-9][0-9]|3600)$/</x:v>
      </x:c>
      <x:c r="J32" s="9" t="str"/>
      <x:c r="K32" s="9" t="str">
        <x:v>检测时间：范围：1-3600。默认2。</x:v>
      </x:c>
      <x:c r="L32" s="9" t="str">
        <x:v>默认/合法替代/空/非法类型；按已确认范围测min、max及相邻越界；保存回读并验证行为</x:v>
      </x:c>
      <x:c r="M32" s="9" t="str">
        <x:v>ALG-11</x:v>
      </x:c>
      <x:c r="N32" s="9" t="str">
        <x:v>未执行</x:v>
      </x:c>
      <x:c r="O32" s="12" t="str"/>
    </x:row>
    <x:row r="33" ht="32" customHeight="1">
      <x:c r="A33" s="4" t="str">
        <x:v>PAR-0029</x:v>
      </x:c>
      <x:c r="B33" s="4" t="str">
        <x:v>模板</x:v>
      </x:c>
      <x:c r="C33" s="4" t="str">
        <x:v>12</x:v>
      </x:c>
      <x:c r="D33" s="4" t="str">
        <x:v>打电话检测</x:v>
      </x:c>
      <x:c r="E33" s="4" t="str">
        <x:v>aiParam.pedestrian.confidence</x:v>
      </x:c>
      <x:c r="F33" s="4" t="str">
        <x:v>行人置信度</x:v>
      </x:c>
      <x:c r="G33" s="4" t="str">
        <x:v>bm1688,cv186x,x86</x:v>
      </x:c>
      <x:c r="H33" s="4" t="str"/>
      <x:c r="I33" s="4" t="str">
        <x:v>min=; max=; regex=</x:v>
      </x:c>
      <x:c r="J33" s="4" t="str"/>
      <x:c r="K33" s="4" t="str">
        <x:v>行人置信度，范围：0.0~1.0，限小数点后3位。</x:v>
      </x:c>
      <x:c r="L33" s="4" t="str">
        <x:v>默认/合法替代/空/非法类型；按已确认范围测min、max及相邻越界；保存回读并验证行为</x:v>
      </x:c>
      <x:c r="M33" s="4" t="str">
        <x:v>ALG-12</x:v>
      </x:c>
      <x:c r="N33" s="4" t="str">
        <x:v>未执行</x:v>
      </x:c>
      <x:c r="O33" s="12" t="str"/>
    </x:row>
    <x:row r="34" ht="32" customHeight="1">
      <x:c r="A34" s="9" t="str">
        <x:v>PAR-0030</x:v>
      </x:c>
      <x:c r="B34" s="9" t="str">
        <x:v>模板</x:v>
      </x:c>
      <x:c r="C34" s="9" t="str">
        <x:v>12</x:v>
      </x:c>
      <x:c r="D34" s="9" t="str">
        <x:v>打电话检测</x:v>
      </x:c>
      <x:c r="E34" s="9" t="str">
        <x:v>aiParam.pedestrian.confidenceConfig</x:v>
      </x:c>
      <x:c r="F34" s="9" t="str">
        <x:v>行人置信度偏移</x:v>
      </x:c>
      <x:c r="G34" s="9" t="str">
        <x:v>bm1688,cv186x,x86</x:v>
      </x:c>
      <x:c r="H34" s="9" t="str">
        <x:v>0,0</x:v>
      </x:c>
      <x:c r="I34" s="9" t="str">
        <x:v>min=; max=; regex=</x:v>
      </x:c>
      <x:c r="J34" s="9" t="str"/>
      <x:c r="K34" s="9" t="str">
        <x:v>行人置信度偏移，默认为严格阈值。可选严格阈值、推荐阈值。</x:v>
      </x:c>
      <x:c r="L34" s="9" t="str">
        <x:v>默认/合法替代/空/非法类型；按已确认范围测min、max及相邻越界；保存回读并验证行为</x:v>
      </x:c>
      <x:c r="M34" s="9" t="str">
        <x:v>ALG-12</x:v>
      </x:c>
      <x:c r="N34" s="9" t="str">
        <x:v>未执行</x:v>
      </x:c>
      <x:c r="O34" s="12" t="str"/>
    </x:row>
    <x:row r="35" ht="32" customHeight="1">
      <x:c r="A35" s="4" t="str">
        <x:v>PAR-0031</x:v>
      </x:c>
      <x:c r="B35" s="4" t="str">
        <x:v>模板</x:v>
      </x:c>
      <x:c r="C35" s="4" t="str">
        <x:v>12</x:v>
      </x:c>
      <x:c r="D35" s="4" t="str">
        <x:v>打电话检测</x:v>
      </x:c>
      <x:c r="E35" s="4" t="str">
        <x:v>aiParam.pedestrian.detPostion</x:v>
      </x:c>
      <x:c r="F35" s="4" t="str">
        <x:v>行人检测方式</x:v>
      </x:c>
      <x:c r="G35" s="4" t="str">
        <x:v>bm1688,cv186x,x86</x:v>
      </x:c>
      <x:c r="H35" s="4" t="str">
        <x:v>0</x:v>
      </x:c>
      <x:c r="I35" s="4" t="str">
        <x:v>枚举：0,1,2</x:v>
      </x:c>
      <x:c r="J35" s="4" t="str"/>
      <x:c r="K35" s="4" t="str">
        <x:v>检测方式：定义检测框中心点的位置。默认在底部。可选顶部、底部、中心。</x:v>
      </x:c>
      <x:c r="L35" s="4" t="str">
        <x:v>依次选每个枚举；非法值；保存刷新；触发依赖字段</x:v>
      </x:c>
      <x:c r="M35" s="4" t="str">
        <x:v>ALG-12</x:v>
      </x:c>
      <x:c r="N35" s="4" t="str">
        <x:v>未执行</x:v>
      </x:c>
      <x:c r="O35" s="12" t="str"/>
    </x:row>
    <x:row r="36" ht="32" customHeight="1">
      <x:c r="A36" s="9" t="str">
        <x:v>PAR-0032</x:v>
      </x:c>
      <x:c r="B36" s="9" t="str">
        <x:v>模板</x:v>
      </x:c>
      <x:c r="C36" s="9" t="str">
        <x:v>12</x:v>
      </x:c>
      <x:c r="D36" s="9" t="str">
        <x:v>打电话检测</x:v>
      </x:c>
      <x:c r="E36" s="9" t="str">
        <x:v>aiParam.1001003.trackDynamicMatch</x:v>
      </x:c>
      <x:c r="F36" s="9" t="str">
        <x:v>行人检测追踪半径</x:v>
      </x:c>
      <x:c r="G36" s="9" t="str">
        <x:v>bm1688,cv186x,x86</x:v>
      </x:c>
      <x:c r="H36" s="9" t="str">
        <x:v>2.3</x:v>
      </x:c>
      <x:c r="I36" s="9" t="str">
        <x:v>min=; max=; regex=</x:v>
      </x:c>
      <x:c r="J36" s="9" t="str"/>
      <x:c r="K36" s="9" t="str">
        <x:v>追踪半径，跟追踪帧数也有关系。范围：0~100，例如：2.3</x:v>
      </x:c>
      <x:c r="L36" s="9" t="str">
        <x:v>默认/合法替代/空/非法类型；按已确认范围测min、max及相邻越界；保存回读并验证行为</x:v>
      </x:c>
      <x:c r="M36" s="9" t="str">
        <x:v>ALG-12</x:v>
      </x:c>
      <x:c r="N36" s="9" t="str">
        <x:v>未执行</x:v>
      </x:c>
      <x:c r="O36" s="12" t="str"/>
    </x:row>
    <x:row r="37" ht="32" customHeight="1">
      <x:c r="A37" s="4" t="str">
        <x:v>PAR-0033</x:v>
      </x:c>
      <x:c r="B37" s="4" t="str">
        <x:v>模板</x:v>
      </x:c>
      <x:c r="C37" s="4" t="str">
        <x:v>12</x:v>
      </x:c>
      <x:c r="D37" s="4" t="str">
        <x:v>打电话检测</x:v>
      </x:c>
      <x:c r="E37" s="4" t="str">
        <x:v>aiParam.pedPhoneAnswer.confidence</x:v>
      </x:c>
      <x:c r="F37" s="4" t="str">
        <x:v>打电话置信度</x:v>
      </x:c>
      <x:c r="G37" s="4" t="str">
        <x:v>bm1688,cv186x,x86</x:v>
      </x:c>
      <x:c r="H37" s="4" t="str"/>
      <x:c r="I37" s="4" t="str">
        <x:v>min=; max=; regex=</x:v>
      </x:c>
      <x:c r="J37" s="4" t="str"/>
      <x:c r="K37" s="4" t="str">
        <x:v>打电话置信度，范围：0.0~1.0，限小数点后3位。</x:v>
      </x:c>
      <x:c r="L37" s="4" t="str">
        <x:v>默认/合法替代/空/非法类型；按已确认范围测min、max及相邻越界；保存回读并验证行为</x:v>
      </x:c>
      <x:c r="M37" s="4" t="str">
        <x:v>ALG-12</x:v>
      </x:c>
      <x:c r="N37" s="4" t="str">
        <x:v>未执行</x:v>
      </x:c>
      <x:c r="O37" s="12" t="str"/>
    </x:row>
    <x:row r="38" ht="32" customHeight="1">
      <x:c r="A38" s="9" t="str">
        <x:v>PAR-0034</x:v>
      </x:c>
      <x:c r="B38" s="9" t="str">
        <x:v>模板</x:v>
      </x:c>
      <x:c r="C38" s="9" t="str">
        <x:v>12</x:v>
      </x:c>
      <x:c r="D38" s="9" t="str">
        <x:v>打电话检测</x:v>
      </x:c>
      <x:c r="E38" s="9" t="str">
        <x:v>aiParam.pedPhoneAnswer.confidenceConfig</x:v>
      </x:c>
      <x:c r="F38" s="9" t="str">
        <x:v>打电话置信度偏移</x:v>
      </x:c>
      <x:c r="G38" s="9" t="str">
        <x:v>bm1688,cv186x,x86</x:v>
      </x:c>
      <x:c r="H38" s="9" t="str">
        <x:v>0,0</x:v>
      </x:c>
      <x:c r="I38" s="9" t="str">
        <x:v>min=; max=; regex=</x:v>
      </x:c>
      <x:c r="J38" s="9" t="str"/>
      <x:c r="K38" s="9" t="str">
        <x:v>打电话置信度偏移，默认为严格阈值。可选严格阈值、推荐阈值。</x:v>
      </x:c>
      <x:c r="L38" s="9" t="str">
        <x:v>默认/合法替代/空/非法类型；按已确认范围测min、max及相邻越界；保存回读并验证行为</x:v>
      </x:c>
      <x:c r="M38" s="9" t="str">
        <x:v>ALG-12</x:v>
      </x:c>
      <x:c r="N38" s="9" t="str">
        <x:v>未执行</x:v>
      </x:c>
      <x:c r="O38" s="12" t="str"/>
    </x:row>
    <x:row r="39" ht="40" customHeight="1">
      <x:c r="A39" s="4" t="str">
        <x:v>PAR-0035</x:v>
      </x:c>
      <x:c r="B39" s="4" t="str">
        <x:v>模板</x:v>
      </x:c>
      <x:c r="C39" s="4" t="str">
        <x:v>12</x:v>
      </x:c>
      <x:c r="D39" s="4" t="str">
        <x:v>打电话检测</x:v>
      </x:c>
      <x:c r="E39" s="4" t="str">
        <x:v>param.targetAlarmInterval</x:v>
      </x:c>
      <x:c r="F39" s="4" t="str">
        <x:v>告警时间间隔（秒）</x:v>
      </x:c>
      <x:c r="G39" s="4" t="str">
        <x:v>bm1688,cv186x,x86</x:v>
      </x:c>
      <x:c r="H39" s="4" t="str">
        <x:v>60</x:v>
      </x:c>
      <x:c r="I39" s="4" t="str">
        <x:v>min=; max=; regex=/^([1-9]|[1-9][0-9]|[1-9][0-9][0-9]|[1-9][0-9][0-9][0-9]|[1-2][0-9][0-9][0-9][0-9]|[3][0-5][0-9][0-9][0-9]|36000)$/</x:v>
      </x:c>
      <x:c r="J39" s="4" t="str"/>
      <x:c r="K39" s="4" t="str">
        <x:v>告警时间间隔：2次告警事件的间隔。范围：1~36000秒，默认：60秒。</x:v>
      </x:c>
      <x:c r="L39" s="4" t="str">
        <x:v>默认/合法替代/空/非法类型；按已确认范围测min、max及相邻越界；保存回读并验证行为</x:v>
      </x:c>
      <x:c r="M39" s="4" t="str">
        <x:v>ALG-12</x:v>
      </x:c>
      <x:c r="N39" s="4" t="str">
        <x:v>未执行</x:v>
      </x:c>
      <x:c r="O39" s="12" t="str"/>
    </x:row>
    <x:row r="40" ht="32" customHeight="1">
      <x:c r="A40" s="9" t="str">
        <x:v>PAR-0036</x:v>
      </x:c>
      <x:c r="B40" s="9" t="str">
        <x:v>模板</x:v>
      </x:c>
      <x:c r="C40" s="9" t="str">
        <x:v>12</x:v>
      </x:c>
      <x:c r="D40" s="9" t="str">
        <x:v>打电话检测</x:v>
      </x:c>
      <x:c r="E40" s="9" t="str">
        <x:v>param.targetAlarmCount</x:v>
      </x:c>
      <x:c r="F40" s="9" t="str">
        <x:v>告警次数</x:v>
      </x:c>
      <x:c r="G40" s="9" t="str">
        <x:v>bm1688,cv186x,x86</x:v>
      </x:c>
      <x:c r="H40" s="9" t="str">
        <x:v>1</x:v>
      </x:c>
      <x:c r="I40" s="9" t="str">
        <x:v>min=; max=; regex=/^(0|[1-9]|[1-9][0-9]|100)$/</x:v>
      </x:c>
      <x:c r="J40" s="9" t="str"/>
      <x:c r="K40" s="9" t="str">
        <x:v>告警次数：范围：0-100，默认为1。0表示不限次数。</x:v>
      </x:c>
      <x:c r="L40" s="9" t="str">
        <x:v>默认/合法替代/空/非法类型；按已确认范围测min、max及相邻越界；保存回读并验证行为</x:v>
      </x:c>
      <x:c r="M40" s="9" t="str">
        <x:v>ALG-12</x:v>
      </x:c>
      <x:c r="N40" s="9" t="str">
        <x:v>未执行</x:v>
      </x:c>
      <x:c r="O40" s="12" t="str"/>
    </x:row>
    <x:row r="41" ht="40" customHeight="1">
      <x:c r="A41" s="4" t="str">
        <x:v>PAR-0037</x:v>
      </x:c>
      <x:c r="B41" s="4" t="str">
        <x:v>模板</x:v>
      </x:c>
      <x:c r="C41" s="4" t="str">
        <x:v>12</x:v>
      </x:c>
      <x:c r="D41" s="4" t="str">
        <x:v>打电话检测</x:v>
      </x:c>
      <x:c r="E41" s="4" t="str">
        <x:v>param.restrainSwitch</x:v>
      </x:c>
      <x:c r="F41" s="4" t="str">
        <x:v>静止目标去重</x:v>
      </x:c>
      <x:c r="G41" s="4" t="str">
        <x:v>bm1688,cv186x,x86</x:v>
      </x:c>
      <x:c r="H41" s="4" t="str">
        <x:v>0</x:v>
      </x:c>
      <x:c r="I41" s="4" t="str">
        <x:v>min=; max=; regex=/^[01]$/</x:v>
      </x:c>
      <x:c r="J41" s="4" t="str"/>
      <x:c r="K41" s="4" t="str">
        <x:v>静止目标去重：对于告警目标，开启此功能后，将进行目标静止状态检测，如判定为静止目标，则不会重复报警。</x:v>
      </x:c>
      <x:c r="L41" s="4" t="str">
        <x:v>默认/合法替代/空/非法类型；按已确认范围测min、max及相邻越界；保存回读并验证行为</x:v>
      </x:c>
      <x:c r="M41" s="4" t="str">
        <x:v>ALG-12</x:v>
      </x:c>
      <x:c r="N41" s="4" t="str">
        <x:v>未执行</x:v>
      </x:c>
      <x:c r="O41" s="12" t="str"/>
    </x:row>
    <x:row r="42" ht="32" customHeight="1">
      <x:c r="A42" s="9" t="str">
        <x:v>PAR-0038</x:v>
      </x:c>
      <x:c r="B42" s="9" t="str">
        <x:v>模板</x:v>
      </x:c>
      <x:c r="C42" s="9" t="str">
        <x:v>12</x:v>
      </x:c>
      <x:c r="D42" s="9" t="str">
        <x:v>打电话检测</x:v>
      </x:c>
      <x:c r="E42" s="9" t="str">
        <x:v>param.overlapRate</x:v>
      </x:c>
      <x:c r="F42" s="9" t="str">
        <x:v>静止目标重叠率</x:v>
      </x:c>
      <x:c r="G42" s="9" t="str">
        <x:v>bm1688,cv186x,x86</x:v>
      </x:c>
      <x:c r="H42" s="9" t="str">
        <x:v>0.2</x:v>
      </x:c>
      <x:c r="I42" s="9" t="str">
        <x:v>min=; max=; regex=/^(0(\.\d{1,3})?|1(\.0{1,3})?)$/</x:v>
      </x:c>
      <x:c r="J42" s="9" t="str">
        <x:v>{"key":"param.restrainSwitch","value":"1"}</x:v>
      </x:c>
      <x:c r="K42" s="9" t="str">
        <x:v>静止目标重叠率，范围：0.0~1.0，限小数点后3位，默认：0.2。</x:v>
      </x:c>
      <x:c r="L42" s="9" t="str">
        <x:v>默认/合法替代/空/非法类型；按已确认范围测min、max及相邻越界；保存回读并验证行为</x:v>
      </x:c>
      <x:c r="M42" s="9" t="str">
        <x:v>ALG-12</x:v>
      </x:c>
      <x:c r="N42" s="9" t="str">
        <x:v>未执行</x:v>
      </x:c>
      <x:c r="O42" s="12" t="str"/>
    </x:row>
    <x:row r="43" ht="32" customHeight="1">
      <x:c r="A43" s="4" t="str">
        <x:v>PAR-0039</x:v>
      </x:c>
      <x:c r="B43" s="4" t="str">
        <x:v>模板</x:v>
      </x:c>
      <x:c r="C43" s="4" t="str">
        <x:v>12</x:v>
      </x:c>
      <x:c r="D43" s="4" t="str">
        <x:v>打电话检测</x:v>
      </x:c>
      <x:c r="E43" s="4" t="str">
        <x:v>param.restrainTime</x:v>
      </x:c>
      <x:c r="F43" s="4" t="str">
        <x:v>静止目标去重时间(小时)</x:v>
      </x:c>
      <x:c r="G43" s="4" t="str">
        <x:v>bm1688,cv186x,x86</x:v>
      </x:c>
      <x:c r="H43" s="4" t="str">
        <x:v>6</x:v>
      </x:c>
      <x:c r="I43" s="4" t="str">
        <x:v>min=; max=; regex=/^([0-9]|[1][0-9]|[2][0-4])$/</x:v>
      </x:c>
      <x:c r="J43" s="4" t="str">
        <x:v>{"key":"param.restrainSwitch","value":"1"}</x:v>
      </x:c>
      <x:c r="K43" s="4" t="str">
        <x:v>静止目标去重时间，范围：1~24小时，默认：6小时。</x:v>
      </x:c>
      <x:c r="L43" s="4" t="str">
        <x:v>默认/合法替代/空/非法类型；按已确认范围测min、max及相邻越界；保存回读并验证行为</x:v>
      </x:c>
      <x:c r="M43" s="4" t="str">
        <x:v>ALG-12</x:v>
      </x:c>
      <x:c r="N43" s="4" t="str">
        <x:v>未执行</x:v>
      </x:c>
      <x:c r="O43" s="12" t="str"/>
    </x:row>
    <x:row r="44" ht="32" customHeight="1">
      <x:c r="A44" s="9" t="str">
        <x:v>PAR-0040</x:v>
      </x:c>
      <x:c r="B44" s="9" t="str">
        <x:v>模板</x:v>
      </x:c>
      <x:c r="C44" s="9" t="str">
        <x:v>12</x:v>
      </x:c>
      <x:c r="D44" s="9" t="str">
        <x:v>打电话检测</x:v>
      </x:c>
      <x:c r="E44" s="9" t="str">
        <x:v>param.overlayTrajectory</x:v>
      </x:c>
      <x:c r="F44" s="9" t="str">
        <x:v>全景图叠加轨迹</x:v>
      </x:c>
      <x:c r="G44" s="9" t="str">
        <x:v>bm1688,cv186x,x86</x:v>
      </x:c>
      <x:c r="H44" s="9" t="str">
        <x:v>0</x:v>
      </x:c>
      <x:c r="I44" s="9" t="str">
        <x:v>min=; max=; regex=/^[01]$/</x:v>
      </x:c>
      <x:c r="J44" s="9" t="str"/>
      <x:c r="K44" s="9" t="str">
        <x:v>打开后会在全景图上叠加目标运动轨迹</x:v>
      </x:c>
      <x:c r="L44" s="9" t="str">
        <x:v>默认/合法替代/空/非法类型；按已确认范围测min、max及相邻越界；保存回读并验证行为</x:v>
      </x:c>
      <x:c r="M44" s="9" t="str">
        <x:v>ALG-12</x:v>
      </x:c>
      <x:c r="N44" s="9" t="str">
        <x:v>未执行</x:v>
      </x:c>
      <x:c r="O44" s="12" t="str"/>
    </x:row>
    <x:row r="45" ht="40" customHeight="1">
      <x:c r="A45" s="4" t="str">
        <x:v>PAR-0041</x:v>
      </x:c>
      <x:c r="B45" s="4" t="str">
        <x:v>模板</x:v>
      </x:c>
      <x:c r="C45" s="4" t="str">
        <x:v>12</x:v>
      </x:c>
      <x:c r="D45" s="4" t="str">
        <x:v>打电话检测</x:v>
      </x:c>
      <x:c r="E45" s="4" t="str">
        <x:v>filter.pedestrian.side.min</x:v>
      </x:c>
      <x:c r="F45" s="4" t="str">
        <x:v>最小行人尺寸</x:v>
      </x:c>
      <x:c r="G45" s="4" t="str">
        <x:v>bm1688,cv186x,x86</x:v>
      </x:c>
      <x:c r="H45" s="4" t="str">
        <x:v>60</x:v>
      </x:c>
      <x:c r="I45" s="4" t="str">
        <x:v>min=; max=; regex=/^(0|[1-9]|[1-9][0-9]|[1-9][0-9][0-9]|[1-9][0-9][0-9][0-9]|10000)$/</x:v>
      </x:c>
      <x:c r="J45" s="4" t="str"/>
      <x:c r="K45" s="4" t="str">
        <x:v>最小行人尺寸：行人抓拍照片的最小图像尺寸。如输入值为100，则最小行人尺寸为100*100像素。范围：10px~1000像素 默认：100像素。</x:v>
      </x:c>
      <x:c r="L45" s="4" t="str">
        <x:v>默认/合法替代/空/非法类型；按已确认范围测min、max及相邻越界；保存回读并验证行为</x:v>
      </x:c>
      <x:c r="M45" s="4" t="str">
        <x:v>ALG-12</x:v>
      </x:c>
      <x:c r="N45" s="4" t="str">
        <x:v>未执行</x:v>
      </x:c>
      <x:c r="O45" s="12" t="str"/>
    </x:row>
    <x:row r="46" ht="40" customHeight="1">
      <x:c r="A46" s="9" t="str">
        <x:v>PAR-0042</x:v>
      </x:c>
      <x:c r="B46" s="9" t="str">
        <x:v>模板</x:v>
      </x:c>
      <x:c r="C46" s="9" t="str">
        <x:v>12</x:v>
      </x:c>
      <x:c r="D46" s="9" t="str">
        <x:v>打电话检测</x:v>
      </x:c>
      <x:c r="E46" s="9" t="str">
        <x:v>param.sensitivity</x:v>
      </x:c>
      <x:c r="F46" s="9" t="str">
        <x:v>灵敏度</x:v>
      </x:c>
      <x:c r="G46" s="9" t="str">
        <x:v>bm1688,cv186x,x86</x:v>
      </x:c>
      <x:c r="H46" s="9" t="str">
        <x:v>5</x:v>
      </x:c>
      <x:c r="I46" s="9" t="str">
        <x:v>min=; max=; regex=/^([1-9]|10)$/</x:v>
      </x:c>
      <x:c r="J46" s="9" t="str"/>
      <x:c r="K46" s="9" t="str">
        <x:v>灵敏度：用于计算总数范围内的命中数。如总数为10，取帧频率为3，则需时间≥10/3秒，才有可能产生告警。</x:v>
      </x:c>
      <x:c r="L46" s="9" t="str">
        <x:v>默认/合法替代/空/非法类型；按已确认范围测min、max及相邻越界；保存回读并验证行为</x:v>
      </x:c>
      <x:c r="M46" s="9" t="str">
        <x:v>ALG-12</x:v>
      </x:c>
      <x:c r="N46" s="9" t="str">
        <x:v>未执行</x:v>
      </x:c>
      <x:c r="O46" s="12" t="str"/>
    </x:row>
    <x:row r="47" ht="40" customHeight="1">
      <x:c r="A47" s="4" t="str">
        <x:v>PAR-0043</x:v>
      </x:c>
      <x:c r="B47" s="4" t="str">
        <x:v>模板</x:v>
      </x:c>
      <x:c r="C47" s="4" t="str">
        <x:v>12</x:v>
      </x:c>
      <x:c r="D47" s="4" t="str">
        <x:v>打电话检测</x:v>
      </x:c>
      <x:c r="E47" s="4" t="str">
        <x:v>param.detectionDuration</x:v>
      </x:c>
      <x:c r="F47" s="4" t="str">
        <x:v>检测时间（秒）</x:v>
      </x:c>
      <x:c r="G47" s="4" t="str">
        <x:v>bm1688,cv186x,x86</x:v>
      </x:c>
      <x:c r="H47" s="4" t="str">
        <x:v>2</x:v>
      </x:c>
      <x:c r="I47" s="4" t="str">
        <x:v>min=; max=; regex=/^([1-9]|[1-9][0-9]|[1-9][0-9][0-9]|[1-2][0-9][0-9][0-9]|[3][0-5][0-9][0-9]|3600)$/</x:v>
      </x:c>
      <x:c r="J47" s="4" t="str"/>
      <x:c r="K47" s="4" t="str">
        <x:v>检测时间：范围：1-3600。默认2。</x:v>
      </x:c>
      <x:c r="L47" s="4" t="str">
        <x:v>默认/合法替代/空/非法类型；按已确认范围测min、max及相邻越界；保存回读并验证行为</x:v>
      </x:c>
      <x:c r="M47" s="4" t="str">
        <x:v>ALG-12</x:v>
      </x:c>
      <x:c r="N47" s="4" t="str">
        <x:v>未执行</x:v>
      </x:c>
      <x:c r="O47" s="12" t="str"/>
    </x:row>
    <x:row r="48" ht="32" customHeight="1">
      <x:c r="A48" s="9" t="str">
        <x:v>PAR-0044</x:v>
      </x:c>
      <x:c r="B48" s="9" t="str">
        <x:v>模板</x:v>
      </x:c>
      <x:c r="C48" s="9" t="str">
        <x:v>13</x:v>
      </x:c>
      <x:c r="D48" s="9" t="str">
        <x:v>人流量统计</x:v>
      </x:c>
      <x:c r="E48" s="9" t="str">
        <x:v>aiParam.pedestrian.confidence</x:v>
      </x:c>
      <x:c r="F48" s="9" t="str">
        <x:v>行人置信度</x:v>
      </x:c>
      <x:c r="G48" s="9" t="str">
        <x:v>bm1688,cv186x,x86</x:v>
      </x:c>
      <x:c r="H48" s="9" t="str"/>
      <x:c r="I48" s="9" t="str">
        <x:v>min=; max=; regex=</x:v>
      </x:c>
      <x:c r="J48" s="9" t="str"/>
      <x:c r="K48" s="9" t="str">
        <x:v>行人置信度，范围：0.0~1.0，限小数点后3位。</x:v>
      </x:c>
      <x:c r="L48" s="9" t="str">
        <x:v>默认/合法替代/空/非法类型；按已确认范围测min、max及相邻越界；保存回读并验证行为</x:v>
      </x:c>
      <x:c r="M48" s="9" t="str">
        <x:v>ALG-13</x:v>
      </x:c>
      <x:c r="N48" s="9" t="str">
        <x:v>未执行</x:v>
      </x:c>
      <x:c r="O48" s="12" t="str"/>
    </x:row>
    <x:row r="49" ht="32" customHeight="1">
      <x:c r="A49" s="4" t="str">
        <x:v>PAR-0045</x:v>
      </x:c>
      <x:c r="B49" s="4" t="str">
        <x:v>模板</x:v>
      </x:c>
      <x:c r="C49" s="4" t="str">
        <x:v>13</x:v>
      </x:c>
      <x:c r="D49" s="4" t="str">
        <x:v>人流量统计</x:v>
      </x:c>
      <x:c r="E49" s="4" t="str">
        <x:v>aiParam.pedestrian.confidenceConfig</x:v>
      </x:c>
      <x:c r="F49" s="4" t="str">
        <x:v>行人置信度偏移</x:v>
      </x:c>
      <x:c r="G49" s="4" t="str">
        <x:v>bm1688,cv186x,x86</x:v>
      </x:c>
      <x:c r="H49" s="4" t="str">
        <x:v>0,0</x:v>
      </x:c>
      <x:c r="I49" s="4" t="str">
        <x:v>min=; max=; regex=</x:v>
      </x:c>
      <x:c r="J49" s="4" t="str"/>
      <x:c r="K49" s="4" t="str">
        <x:v>行人置信度偏移，默认为严格阈值。可选严格阈值、推荐阈值。</x:v>
      </x:c>
      <x:c r="L49" s="4" t="str">
        <x:v>默认/合法替代/空/非法类型；按已确认范围测min、max及相邻越界；保存回读并验证行为</x:v>
      </x:c>
      <x:c r="M49" s="4" t="str">
        <x:v>ALG-13</x:v>
      </x:c>
      <x:c r="N49" s="4" t="str">
        <x:v>未执行</x:v>
      </x:c>
      <x:c r="O49" s="12" t="str"/>
    </x:row>
    <x:row r="50" ht="32" customHeight="1">
      <x:c r="A50" s="9" t="str">
        <x:v>PAR-0046</x:v>
      </x:c>
      <x:c r="B50" s="9" t="str">
        <x:v>模板</x:v>
      </x:c>
      <x:c r="C50" s="9" t="str">
        <x:v>13</x:v>
      </x:c>
      <x:c r="D50" s="9" t="str">
        <x:v>人流量统计</x:v>
      </x:c>
      <x:c r="E50" s="9" t="str">
        <x:v>aiParam.pedestrian.detPostion</x:v>
      </x:c>
      <x:c r="F50" s="9" t="str">
        <x:v>行人检测方式</x:v>
      </x:c>
      <x:c r="G50" s="9" t="str">
        <x:v>bm1688,cv186x,x86</x:v>
      </x:c>
      <x:c r="H50" s="9" t="str">
        <x:v>0</x:v>
      </x:c>
      <x:c r="I50" s="9" t="str">
        <x:v>枚举：0,1,2</x:v>
      </x:c>
      <x:c r="J50" s="9" t="str"/>
      <x:c r="K50" s="9" t="str">
        <x:v>检测方式：定义检测框中心点的位置。默认在底部。可选顶部、底部、中心。</x:v>
      </x:c>
      <x:c r="L50" s="9" t="str">
        <x:v>依次选每个枚举；非法值；保存刷新；触发依赖字段</x:v>
      </x:c>
      <x:c r="M50" s="9" t="str">
        <x:v>ALG-13</x:v>
      </x:c>
      <x:c r="N50" s="9" t="str">
        <x:v>未执行</x:v>
      </x:c>
      <x:c r="O50" s="12" t="str"/>
    </x:row>
    <x:row r="51" ht="32" customHeight="1">
      <x:c r="A51" s="4" t="str">
        <x:v>PAR-0047</x:v>
      </x:c>
      <x:c r="B51" s="4" t="str">
        <x:v>模板</x:v>
      </x:c>
      <x:c r="C51" s="4" t="str">
        <x:v>13</x:v>
      </x:c>
      <x:c r="D51" s="4" t="str">
        <x:v>人流量统计</x:v>
      </x:c>
      <x:c r="E51" s="4" t="str">
        <x:v>aiParam.1001003.trackDynamicMatch</x:v>
      </x:c>
      <x:c r="F51" s="4" t="str">
        <x:v>行人检测追踪半径</x:v>
      </x:c>
      <x:c r="G51" s="4" t="str">
        <x:v>bm1688,cv186x,x86</x:v>
      </x:c>
      <x:c r="H51" s="4" t="str">
        <x:v>2.3</x:v>
      </x:c>
      <x:c r="I51" s="4" t="str">
        <x:v>min=; max=; regex=</x:v>
      </x:c>
      <x:c r="J51" s="4" t="str"/>
      <x:c r="K51" s="4" t="str">
        <x:v>追踪半径，跟追踪帧数也有关系。范围：0~100，例如：2.3</x:v>
      </x:c>
      <x:c r="L51" s="4" t="str">
        <x:v>默认/合法替代/空/非法类型；按已确认范围测min、max及相邻越界；保存回读并验证行为</x:v>
      </x:c>
      <x:c r="M51" s="4" t="str">
        <x:v>ALG-13</x:v>
      </x:c>
      <x:c r="N51" s="4" t="str">
        <x:v>未执行</x:v>
      </x:c>
      <x:c r="O51" s="12" t="str"/>
    </x:row>
    <x:row r="52" ht="40" customHeight="1">
      <x:c r="A52" s="9" t="str">
        <x:v>PAR-0048</x:v>
      </x:c>
      <x:c r="B52" s="9" t="str">
        <x:v>模板</x:v>
      </x:c>
      <x:c r="C52" s="9" t="str">
        <x:v>13</x:v>
      </x:c>
      <x:c r="D52" s="9" t="str">
        <x:v>人流量统计</x:v>
      </x:c>
      <x:c r="E52" s="9" t="str">
        <x:v>param.alarmInterval</x:v>
      </x:c>
      <x:c r="F52" s="9" t="str">
        <x:v>告警时间间隔（秒）</x:v>
      </x:c>
      <x:c r="G52" s="9" t="str">
        <x:v>bm1688,cv186x,x86</x:v>
      </x:c>
      <x:c r="H52" s="9" t="str">
        <x:v>1</x:v>
      </x:c>
      <x:c r="I52" s="9" t="str">
        <x:v>min=; max=; regex=/^([1-9]|[1-9][0-9]|[1-9][0-9][0-9]|[1-9][0-9][0-9][0-9]|[1-2][0-9][0-9][0-9][0-9]|[3][0-5][0-9][0-9][0-9]|36000)$/</x:v>
      </x:c>
      <x:c r="J52" s="9" t="str"/>
      <x:c r="K52" s="9" t="str">
        <x:v>告警时间间隔：2次告警事件的间隔。范围：1~36000秒，默认：60秒。</x:v>
      </x:c>
      <x:c r="L52" s="9" t="str">
        <x:v>默认/合法替代/空/非法类型；按已确认范围测min、max及相邻越界；保存回读并验证行为</x:v>
      </x:c>
      <x:c r="M52" s="9" t="str">
        <x:v>ALG-13</x:v>
      </x:c>
      <x:c r="N52" s="9" t="str">
        <x:v>未执行</x:v>
      </x:c>
      <x:c r="O52" s="12" t="str"/>
    </x:row>
    <x:row r="53" ht="40" customHeight="1">
      <x:c r="A53" s="4" t="str">
        <x:v>PAR-0049</x:v>
      </x:c>
      <x:c r="B53" s="4" t="str">
        <x:v>模板</x:v>
      </x:c>
      <x:c r="C53" s="4" t="str">
        <x:v>13</x:v>
      </x:c>
      <x:c r="D53" s="4" t="str">
        <x:v>人流量统计</x:v>
      </x:c>
      <x:c r="E53" s="4" t="str">
        <x:v>param.restrainSwitch</x:v>
      </x:c>
      <x:c r="F53" s="4" t="str">
        <x:v>静止目标去重</x:v>
      </x:c>
      <x:c r="G53" s="4" t="str">
        <x:v>bm1688,cv186x,x86</x:v>
      </x:c>
      <x:c r="H53" s="4" t="str">
        <x:v>0</x:v>
      </x:c>
      <x:c r="I53" s="4" t="str">
        <x:v>min=; max=; regex=/^[01]$/</x:v>
      </x:c>
      <x:c r="J53" s="4" t="str"/>
      <x:c r="K53" s="4" t="str">
        <x:v>静止目标去重：对于告警目标，开启此功能后，将进行目标静止状态检测，如判定为静止目标，则不会重复报警。</x:v>
      </x:c>
      <x:c r="L53" s="4" t="str">
        <x:v>默认/合法替代/空/非法类型；按已确认范围测min、max及相邻越界；保存回读并验证行为</x:v>
      </x:c>
      <x:c r="M53" s="4" t="str">
        <x:v>ALG-13</x:v>
      </x:c>
      <x:c r="N53" s="4" t="str">
        <x:v>未执行</x:v>
      </x:c>
      <x:c r="O53" s="12" t="str"/>
    </x:row>
    <x:row r="54" ht="32" customHeight="1">
      <x:c r="A54" s="9" t="str">
        <x:v>PAR-0050</x:v>
      </x:c>
      <x:c r="B54" s="9" t="str">
        <x:v>模板</x:v>
      </x:c>
      <x:c r="C54" s="9" t="str">
        <x:v>13</x:v>
      </x:c>
      <x:c r="D54" s="9" t="str">
        <x:v>人流量统计</x:v>
      </x:c>
      <x:c r="E54" s="9" t="str">
        <x:v>param.overlapRate</x:v>
      </x:c>
      <x:c r="F54" s="9" t="str">
        <x:v>静止目标重叠率</x:v>
      </x:c>
      <x:c r="G54" s="9" t="str">
        <x:v>bm1688,cv186x,x86</x:v>
      </x:c>
      <x:c r="H54" s="9" t="str">
        <x:v>0.2</x:v>
      </x:c>
      <x:c r="I54" s="9" t="str">
        <x:v>min=; max=; regex=/^(0(\.\d{1,3})?|1(\.0{1,3})?)$/</x:v>
      </x:c>
      <x:c r="J54" s="9" t="str">
        <x:v>{"key":"param.restrainSwitch","value":"1"}</x:v>
      </x:c>
      <x:c r="K54" s="9" t="str">
        <x:v>静止目标重叠率，范围：0.0~1.0，限小数点后3位，默认：0.2。</x:v>
      </x:c>
      <x:c r="L54" s="9" t="str">
        <x:v>默认/合法替代/空/非法类型；按已确认范围测min、max及相邻越界；保存回读并验证行为</x:v>
      </x:c>
      <x:c r="M54" s="9" t="str">
        <x:v>ALG-13</x:v>
      </x:c>
      <x:c r="N54" s="9" t="str">
        <x:v>未执行</x:v>
      </x:c>
      <x:c r="O54" s="12" t="str"/>
    </x:row>
    <x:row r="55" ht="32" customHeight="1">
      <x:c r="A55" s="4" t="str">
        <x:v>PAR-0051</x:v>
      </x:c>
      <x:c r="B55" s="4" t="str">
        <x:v>模板</x:v>
      </x:c>
      <x:c r="C55" s="4" t="str">
        <x:v>13</x:v>
      </x:c>
      <x:c r="D55" s="4" t="str">
        <x:v>人流量统计</x:v>
      </x:c>
      <x:c r="E55" s="4" t="str">
        <x:v>param.restrainTime</x:v>
      </x:c>
      <x:c r="F55" s="4" t="str">
        <x:v>静止目标去重时间(小时)</x:v>
      </x:c>
      <x:c r="G55" s="4" t="str">
        <x:v>bm1688,cv186x,x86</x:v>
      </x:c>
      <x:c r="H55" s="4" t="str">
        <x:v>6</x:v>
      </x:c>
      <x:c r="I55" s="4" t="str">
        <x:v>min=; max=; regex=/^([0-9]|[1][0-9]|[2][0-4])$/</x:v>
      </x:c>
      <x:c r="J55" s="4" t="str">
        <x:v>{"key":"param.restrainSwitch","value":"1"}</x:v>
      </x:c>
      <x:c r="K55" s="4" t="str">
        <x:v>静止目标去重时间，范围：1~24小时，默认：6小时。</x:v>
      </x:c>
      <x:c r="L55" s="4" t="str">
        <x:v>默认/合法替代/空/非法类型；按已确认范围测min、max及相邻越界；保存回读并验证行为</x:v>
      </x:c>
      <x:c r="M55" s="4" t="str">
        <x:v>ALG-13</x:v>
      </x:c>
      <x:c r="N55" s="4" t="str">
        <x:v>未执行</x:v>
      </x:c>
      <x:c r="O55" s="12" t="str"/>
    </x:row>
    <x:row r="56" ht="32" customHeight="1">
      <x:c r="A56" s="9" t="str">
        <x:v>PAR-0052</x:v>
      </x:c>
      <x:c r="B56" s="9" t="str">
        <x:v>模板</x:v>
      </x:c>
      <x:c r="C56" s="9" t="str">
        <x:v>13</x:v>
      </x:c>
      <x:c r="D56" s="9" t="str">
        <x:v>人流量统计</x:v>
      </x:c>
      <x:c r="E56" s="9" t="str">
        <x:v>param.areaCalcDuration</x:v>
      </x:c>
      <x:c r="F56" s="9" t="str">
        <x:v>人数上报间隔</x:v>
      </x:c>
      <x:c r="G56" s="9" t="str">
        <x:v>bm1688,cv186x,x86</x:v>
      </x:c>
      <x:c r="H56" s="9" t="str">
        <x:v>5</x:v>
      </x:c>
      <x:c r="I56" s="9" t="str">
        <x:v>min=; max=; regex=</x:v>
      </x:c>
      <x:c r="J56" s="9" t="str"/>
      <x:c r="K56" s="9" t="str">
        <x:v>检测时间：范围：1-3600000，注意时间单位</x:v>
      </x:c>
      <x:c r="L56" s="9" t="str">
        <x:v>默认/合法替代/空/非法类型；按已确认范围测min、max及相邻越界；保存回读并验证行为</x:v>
      </x:c>
      <x:c r="M56" s="9" t="str">
        <x:v>ALG-13</x:v>
      </x:c>
      <x:c r="N56" s="9" t="str">
        <x:v>未执行</x:v>
      </x:c>
      <x:c r="O56" s="12" t="str"/>
    </x:row>
    <x:row r="57" ht="32" customHeight="1">
      <x:c r="A57" s="4" t="str">
        <x:v>PAR-0053</x:v>
      </x:c>
      <x:c r="B57" s="4" t="str">
        <x:v>模板</x:v>
      </x:c>
      <x:c r="C57" s="4" t="str">
        <x:v>13</x:v>
      </x:c>
      <x:c r="D57" s="4" t="str">
        <x:v>人流量统计</x:v>
      </x:c>
      <x:c r="E57" s="4" t="str">
        <x:v>param.areaCalcDurationTimeType</x:v>
      </x:c>
      <x:c r="F57" s="4" t="str">
        <x:v>检测时间单位</x:v>
      </x:c>
      <x:c r="G57" s="4" t="str">
        <x:v>bm1688,cv186x,x86</x:v>
      </x:c>
      <x:c r="H57" s="4" t="str">
        <x:v>1000</x:v>
      </x:c>
      <x:c r="I57" s="4" t="str">
        <x:v>枚举：1,1000,60000,3600000</x:v>
      </x:c>
      <x:c r="J57" s="4" t="str"/>
      <x:c r="K57" s="4" t="str">
        <x:v>检测时间单位</x:v>
      </x:c>
      <x:c r="L57" s="4" t="str">
        <x:v>依次选每个枚举；非法值；保存刷新；触发依赖字段</x:v>
      </x:c>
      <x:c r="M57" s="4" t="str">
        <x:v>ALG-13</x:v>
      </x:c>
      <x:c r="N57" s="4" t="str">
        <x:v>未执行</x:v>
      </x:c>
      <x:c r="O57" s="12" t="str"/>
    </x:row>
    <x:row r="58" ht="32" customHeight="1">
      <x:c r="A58" s="9" t="str">
        <x:v>PAR-0054</x:v>
      </x:c>
      <x:c r="B58" s="9" t="str">
        <x:v>模板</x:v>
      </x:c>
      <x:c r="C58" s="9" t="str">
        <x:v>13</x:v>
      </x:c>
      <x:c r="D58" s="9" t="str">
        <x:v>人流量统计</x:v>
      </x:c>
      <x:c r="E58" s="9" t="str">
        <x:v>param.targetCalcType</x:v>
      </x:c>
      <x:c r="F58" s="9" t="str">
        <x:v>目标统计方式</x:v>
      </x:c>
      <x:c r="G58" s="9" t="str">
        <x:v>bm1688,cv186x,x86</x:v>
      </x:c>
      <x:c r="H58" s="9" t="str">
        <x:v>1</x:v>
      </x:c>
      <x:c r="I58" s="9" t="str">
        <x:v>枚举：0,1</x:v>
      </x:c>
      <x:c r="J58" s="9" t="str"/>
      <x:c r="K58" s="9" t="str">
        <x:v>目标统计方式</x:v>
      </x:c>
      <x:c r="L58" s="9" t="str">
        <x:v>依次选每个枚举；非法值；保存刷新；触发依赖字段</x:v>
      </x:c>
      <x:c r="M58" s="9" t="str">
        <x:v>ALG-13</x:v>
      </x:c>
      <x:c r="N58" s="9" t="str">
        <x:v>未执行</x:v>
      </x:c>
      <x:c r="O58" s="12" t="str"/>
    </x:row>
    <x:row r="59" ht="32" customHeight="1">
      <x:c r="A59" s="4" t="str">
        <x:v>PAR-0055</x:v>
      </x:c>
      <x:c r="B59" s="4" t="str">
        <x:v>模板</x:v>
      </x:c>
      <x:c r="C59" s="4" t="str">
        <x:v>15</x:v>
      </x:c>
      <x:c r="D59" s="4" t="str">
        <x:v>未戴安全帽</x:v>
      </x:c>
      <x:c r="E59" s="4" t="str">
        <x:v>aiParam.pedSafeHelmet.confidence</x:v>
      </x:c>
      <x:c r="F59" s="4" t="str">
        <x:v>安全帽置信度</x:v>
      </x:c>
      <x:c r="G59" s="4" t="str">
        <x:v>bm1688,cv186x,x86</x:v>
      </x:c>
      <x:c r="H59" s="4" t="str"/>
      <x:c r="I59" s="4" t="str">
        <x:v>min=; max=; regex=</x:v>
      </x:c>
      <x:c r="J59" s="4" t="str"/>
      <x:c r="K59" s="4" t="str">
        <x:v>安全帽置信度，范围：0.0~1.0，限小数点后3位。</x:v>
      </x:c>
      <x:c r="L59" s="4" t="str">
        <x:v>默认/合法替代/空/非法类型；按已确认范围测min、max及相邻越界；保存回读并验证行为</x:v>
      </x:c>
      <x:c r="M59" s="4" t="str">
        <x:v>ALG-15</x:v>
      </x:c>
      <x:c r="N59" s="4" t="str">
        <x:v>未执行</x:v>
      </x:c>
      <x:c r="O59" s="12" t="str"/>
    </x:row>
    <x:row r="60" ht="32" customHeight="1">
      <x:c r="A60" s="9" t="str">
        <x:v>PAR-0056</x:v>
      </x:c>
      <x:c r="B60" s="9" t="str">
        <x:v>模板</x:v>
      </x:c>
      <x:c r="C60" s="9" t="str">
        <x:v>15</x:v>
      </x:c>
      <x:c r="D60" s="9" t="str">
        <x:v>未戴安全帽</x:v>
      </x:c>
      <x:c r="E60" s="9" t="str">
        <x:v>aiParam.pedSafeHelmet.confidenceConfig</x:v>
      </x:c>
      <x:c r="F60" s="9" t="str">
        <x:v>安全帽置信度偏移</x:v>
      </x:c>
      <x:c r="G60" s="9" t="str">
        <x:v>bm1688,cv186x,x86</x:v>
      </x:c>
      <x:c r="H60" s="9" t="str">
        <x:v>1,0</x:v>
      </x:c>
      <x:c r="I60" s="9" t="str">
        <x:v>min=; max=; regex=</x:v>
      </x:c>
      <x:c r="J60" s="9" t="str"/>
      <x:c r="K60" s="9" t="str">
        <x:v>安全帽置信度偏移，默认为严格阈值。可选严格阈值、推荐阈值。</x:v>
      </x:c>
      <x:c r="L60" s="9" t="str">
        <x:v>默认/合法替代/空/非法类型；按已确认范围测min、max及相邻越界；保存回读并验证行为</x:v>
      </x:c>
      <x:c r="M60" s="9" t="str">
        <x:v>ALG-15</x:v>
      </x:c>
      <x:c r="N60" s="9" t="str">
        <x:v>未执行</x:v>
      </x:c>
      <x:c r="O60" s="12" t="str"/>
    </x:row>
    <x:row r="61" ht="40" customHeight="1">
      <x:c r="A61" s="4" t="str">
        <x:v>PAR-0057</x:v>
      </x:c>
      <x:c r="B61" s="4" t="str">
        <x:v>模板</x:v>
      </x:c>
      <x:c r="C61" s="4" t="str">
        <x:v>15</x:v>
      </x:c>
      <x:c r="D61" s="4" t="str">
        <x:v>未戴安全帽</x:v>
      </x:c>
      <x:c r="E61" s="4" t="str">
        <x:v>param.targetAlarmInterval</x:v>
      </x:c>
      <x:c r="F61" s="4" t="str">
        <x:v>告警时间间隔（秒）</x:v>
      </x:c>
      <x:c r="G61" s="4" t="str">
        <x:v>bm1688,cv186x,x86</x:v>
      </x:c>
      <x:c r="H61" s="4" t="str">
        <x:v>60</x:v>
      </x:c>
      <x:c r="I61" s="4" t="str">
        <x:v>min=; max=; regex=/^([1-9]|[1-9][0-9]|[1-9][0-9][0-9]|[1-9][0-9][0-9][0-9]|[1-2][0-9][0-9][0-9][0-9]|[3][0-5][0-9][0-9][0-9]|36000)$/</x:v>
      </x:c>
      <x:c r="J61" s="4" t="str"/>
      <x:c r="K61" s="4" t="str">
        <x:v>告警时间间隔：2次告警事件的间隔。范围：1~36000秒，默认：60秒。</x:v>
      </x:c>
      <x:c r="L61" s="4" t="str">
        <x:v>默认/合法替代/空/非法类型；按已确认范围测min、max及相邻越界；保存回读并验证行为</x:v>
      </x:c>
      <x:c r="M61" s="4" t="str">
        <x:v>ALG-15</x:v>
      </x:c>
      <x:c r="N61" s="4" t="str">
        <x:v>未执行</x:v>
      </x:c>
      <x:c r="O61" s="12" t="str"/>
    </x:row>
    <x:row r="62" ht="32" customHeight="1">
      <x:c r="A62" s="9" t="str">
        <x:v>PAR-0058</x:v>
      </x:c>
      <x:c r="B62" s="9" t="str">
        <x:v>模板</x:v>
      </x:c>
      <x:c r="C62" s="9" t="str">
        <x:v>15</x:v>
      </x:c>
      <x:c r="D62" s="9" t="str">
        <x:v>未戴安全帽</x:v>
      </x:c>
      <x:c r="E62" s="9" t="str">
        <x:v>param.targetAlarmCount</x:v>
      </x:c>
      <x:c r="F62" s="9" t="str">
        <x:v>告警次数</x:v>
      </x:c>
      <x:c r="G62" s="9" t="str">
        <x:v>bm1688,cv186x,x86</x:v>
      </x:c>
      <x:c r="H62" s="9" t="str">
        <x:v>1</x:v>
      </x:c>
      <x:c r="I62" s="9" t="str">
        <x:v>min=; max=; regex=/^(0|[1-9]|[1-9][0-9]|100)$/</x:v>
      </x:c>
      <x:c r="J62" s="9" t="str"/>
      <x:c r="K62" s="9" t="str">
        <x:v>告警次数：范围：0-100，默认为1。0表示不限次数。</x:v>
      </x:c>
      <x:c r="L62" s="9" t="str">
        <x:v>默认/合法替代/空/非法类型；按已确认范围测min、max及相邻越界；保存回读并验证行为</x:v>
      </x:c>
      <x:c r="M62" s="9" t="str">
        <x:v>ALG-15</x:v>
      </x:c>
      <x:c r="N62" s="9" t="str">
        <x:v>未执行</x:v>
      </x:c>
      <x:c r="O62" s="12" t="str"/>
    </x:row>
    <x:row r="63" ht="40" customHeight="1">
      <x:c r="A63" s="4" t="str">
        <x:v>PAR-0059</x:v>
      </x:c>
      <x:c r="B63" s="4" t="str">
        <x:v>模板</x:v>
      </x:c>
      <x:c r="C63" s="4" t="str">
        <x:v>15</x:v>
      </x:c>
      <x:c r="D63" s="4" t="str">
        <x:v>未戴安全帽</x:v>
      </x:c>
      <x:c r="E63" s="4" t="str">
        <x:v>param.restrainSwitch</x:v>
      </x:c>
      <x:c r="F63" s="4" t="str">
        <x:v>静止目标去重</x:v>
      </x:c>
      <x:c r="G63" s="4" t="str">
        <x:v>bm1688,cv186x,x86</x:v>
      </x:c>
      <x:c r="H63" s="4" t="str">
        <x:v>0</x:v>
      </x:c>
      <x:c r="I63" s="4" t="str">
        <x:v>min=; max=; regex=/^[01]$/</x:v>
      </x:c>
      <x:c r="J63" s="4" t="str"/>
      <x:c r="K63" s="4" t="str">
        <x:v>静止目标去重：对于告警目标，开启此功能后，将进行目标静止状态检测，如判定为静止目标，则不会重复报警。</x:v>
      </x:c>
      <x:c r="L63" s="4" t="str">
        <x:v>默认/合法替代/空/非法类型；按已确认范围测min、max及相邻越界；保存回读并验证行为</x:v>
      </x:c>
      <x:c r="M63" s="4" t="str">
        <x:v>ALG-15</x:v>
      </x:c>
      <x:c r="N63" s="4" t="str">
        <x:v>未执行</x:v>
      </x:c>
      <x:c r="O63" s="12" t="str"/>
    </x:row>
    <x:row r="64" ht="32" customHeight="1">
      <x:c r="A64" s="9" t="str">
        <x:v>PAR-0060</x:v>
      </x:c>
      <x:c r="B64" s="9" t="str">
        <x:v>模板</x:v>
      </x:c>
      <x:c r="C64" s="9" t="str">
        <x:v>15</x:v>
      </x:c>
      <x:c r="D64" s="9" t="str">
        <x:v>未戴安全帽</x:v>
      </x:c>
      <x:c r="E64" s="9" t="str">
        <x:v>param.overlapRate</x:v>
      </x:c>
      <x:c r="F64" s="9" t="str">
        <x:v>静止目标重叠率</x:v>
      </x:c>
      <x:c r="G64" s="9" t="str">
        <x:v>bm1688,cv186x,x86</x:v>
      </x:c>
      <x:c r="H64" s="9" t="str">
        <x:v>0.2</x:v>
      </x:c>
      <x:c r="I64" s="9" t="str">
        <x:v>min=; max=; regex=/^(0(\.\d{1,3})?|1(\.0{1,3})?)$/</x:v>
      </x:c>
      <x:c r="J64" s="9" t="str">
        <x:v>{"key":"param.restrainSwitch","value":"1"}</x:v>
      </x:c>
      <x:c r="K64" s="9" t="str">
        <x:v>静止目标重叠率，范围：0.0~1.0，限小数点后3位，默认：0.2。</x:v>
      </x:c>
      <x:c r="L64" s="9" t="str">
        <x:v>默认/合法替代/空/非法类型；按已确认范围测min、max及相邻越界；保存回读并验证行为</x:v>
      </x:c>
      <x:c r="M64" s="9" t="str">
        <x:v>ALG-15</x:v>
      </x:c>
      <x:c r="N64" s="9" t="str">
        <x:v>未执行</x:v>
      </x:c>
      <x:c r="O64" s="12" t="str"/>
    </x:row>
    <x:row r="65" ht="32" customHeight="1">
      <x:c r="A65" s="4" t="str">
        <x:v>PAR-0061</x:v>
      </x:c>
      <x:c r="B65" s="4" t="str">
        <x:v>模板</x:v>
      </x:c>
      <x:c r="C65" s="4" t="str">
        <x:v>15</x:v>
      </x:c>
      <x:c r="D65" s="4" t="str">
        <x:v>未戴安全帽</x:v>
      </x:c>
      <x:c r="E65" s="4" t="str">
        <x:v>param.restrainTime</x:v>
      </x:c>
      <x:c r="F65" s="4" t="str">
        <x:v>静止目标去重时间(小时)</x:v>
      </x:c>
      <x:c r="G65" s="4" t="str">
        <x:v>bm1688,cv186x,x86</x:v>
      </x:c>
      <x:c r="H65" s="4" t="str">
        <x:v>6</x:v>
      </x:c>
      <x:c r="I65" s="4" t="str">
        <x:v>min=; max=; regex=/^([0-9]|[1][0-9]|[2][0-4])$/</x:v>
      </x:c>
      <x:c r="J65" s="4" t="str">
        <x:v>{"key":"param.restrainSwitch","value":"1"}</x:v>
      </x:c>
      <x:c r="K65" s="4" t="str">
        <x:v>静止目标去重时间，范围：1~24小时，默认：6小时。</x:v>
      </x:c>
      <x:c r="L65" s="4" t="str">
        <x:v>默认/合法替代/空/非法类型；按已确认范围测min、max及相邻越界；保存回读并验证行为</x:v>
      </x:c>
      <x:c r="M65" s="4" t="str">
        <x:v>ALG-15</x:v>
      </x:c>
      <x:c r="N65" s="4" t="str">
        <x:v>未执行</x:v>
      </x:c>
      <x:c r="O65" s="12" t="str"/>
    </x:row>
    <x:row r="66" ht="32" customHeight="1">
      <x:c r="A66" s="9" t="str">
        <x:v>PAR-0062</x:v>
      </x:c>
      <x:c r="B66" s="9" t="str">
        <x:v>模板</x:v>
      </x:c>
      <x:c r="C66" s="9" t="str">
        <x:v>15</x:v>
      </x:c>
      <x:c r="D66" s="9" t="str">
        <x:v>未戴安全帽</x:v>
      </x:c>
      <x:c r="E66" s="9" t="str">
        <x:v>param.overlayTrajectory</x:v>
      </x:c>
      <x:c r="F66" s="9" t="str">
        <x:v>全景图叠加轨迹</x:v>
      </x:c>
      <x:c r="G66" s="9" t="str">
        <x:v>bm1688,cv186x,x86</x:v>
      </x:c>
      <x:c r="H66" s="9" t="str">
        <x:v>0</x:v>
      </x:c>
      <x:c r="I66" s="9" t="str">
        <x:v>min=; max=; regex=/^[01]$/</x:v>
      </x:c>
      <x:c r="J66" s="9" t="str"/>
      <x:c r="K66" s="9" t="str">
        <x:v>打开后会在全景图上叠加目标运动轨迹</x:v>
      </x:c>
      <x:c r="L66" s="9" t="str">
        <x:v>默认/合法替代/空/非法类型；按已确认范围测min、max及相邻越界；保存回读并验证行为</x:v>
      </x:c>
      <x:c r="M66" s="9" t="str">
        <x:v>ALG-15</x:v>
      </x:c>
      <x:c r="N66" s="9" t="str">
        <x:v>未执行</x:v>
      </x:c>
      <x:c r="O66" s="12" t="str"/>
    </x:row>
    <x:row r="67" ht="32" customHeight="1">
      <x:c r="A67" s="4" t="str">
        <x:v>PAR-0063</x:v>
      </x:c>
      <x:c r="B67" s="4" t="str">
        <x:v>模板</x:v>
      </x:c>
      <x:c r="C67" s="4" t="str">
        <x:v>15</x:v>
      </x:c>
      <x:c r="D67" s="4" t="str">
        <x:v>未戴安全帽</x:v>
      </x:c>
      <x:c r="E67" s="4" t="str">
        <x:v>aiParam.pedestrian.confidence</x:v>
      </x:c>
      <x:c r="F67" s="4" t="str">
        <x:v>行人置信度</x:v>
      </x:c>
      <x:c r="G67" s="4" t="str">
        <x:v>bm1688,cv186x,x86</x:v>
      </x:c>
      <x:c r="H67" s="4" t="str"/>
      <x:c r="I67" s="4" t="str">
        <x:v>min=; max=; regex=</x:v>
      </x:c>
      <x:c r="J67" s="4" t="str"/>
      <x:c r="K67" s="4" t="str">
        <x:v>行人置信度，范围：0.0~1.0，限小数点后3位。</x:v>
      </x:c>
      <x:c r="L67" s="4" t="str">
        <x:v>默认/合法替代/空/非法类型；按已确认范围测min、max及相邻越界；保存回读并验证行为</x:v>
      </x:c>
      <x:c r="M67" s="4" t="str">
        <x:v>ALG-15</x:v>
      </x:c>
      <x:c r="N67" s="4" t="str">
        <x:v>未执行</x:v>
      </x:c>
      <x:c r="O67" s="12" t="str"/>
    </x:row>
    <x:row r="68" ht="32" customHeight="1">
      <x:c r="A68" s="9" t="str">
        <x:v>PAR-0064</x:v>
      </x:c>
      <x:c r="B68" s="9" t="str">
        <x:v>模板</x:v>
      </x:c>
      <x:c r="C68" s="9" t="str">
        <x:v>15</x:v>
      </x:c>
      <x:c r="D68" s="9" t="str">
        <x:v>未戴安全帽</x:v>
      </x:c>
      <x:c r="E68" s="9" t="str">
        <x:v>aiParam.pedestrian.confidenceConfig</x:v>
      </x:c>
      <x:c r="F68" s="9" t="str">
        <x:v>行人置信度偏移</x:v>
      </x:c>
      <x:c r="G68" s="9" t="str">
        <x:v>bm1688,cv186x,x86</x:v>
      </x:c>
      <x:c r="H68" s="9" t="str">
        <x:v>0,0</x:v>
      </x:c>
      <x:c r="I68" s="9" t="str">
        <x:v>min=; max=; regex=</x:v>
      </x:c>
      <x:c r="J68" s="9" t="str"/>
      <x:c r="K68" s="9" t="str">
        <x:v>行人置信度偏移，默认为严格阈值。可选严格阈值、推荐阈值。</x:v>
      </x:c>
      <x:c r="L68" s="9" t="str">
        <x:v>默认/合法替代/空/非法类型；按已确认范围测min、max及相邻越界；保存回读并验证行为</x:v>
      </x:c>
      <x:c r="M68" s="9" t="str">
        <x:v>ALG-15</x:v>
      </x:c>
      <x:c r="N68" s="9" t="str">
        <x:v>未执行</x:v>
      </x:c>
      <x:c r="O68" s="12" t="str"/>
    </x:row>
    <x:row r="69" ht="32" customHeight="1">
      <x:c r="A69" s="4" t="str">
        <x:v>PAR-0065</x:v>
      </x:c>
      <x:c r="B69" s="4" t="str">
        <x:v>模板</x:v>
      </x:c>
      <x:c r="C69" s="4" t="str">
        <x:v>15</x:v>
      </x:c>
      <x:c r="D69" s="4" t="str">
        <x:v>未戴安全帽</x:v>
      </x:c>
      <x:c r="E69" s="4" t="str">
        <x:v>aiParam.pedestrian.detPostion</x:v>
      </x:c>
      <x:c r="F69" s="4" t="str">
        <x:v>行人检测方式</x:v>
      </x:c>
      <x:c r="G69" s="4" t="str">
        <x:v>bm1688,cv186x,x86</x:v>
      </x:c>
      <x:c r="H69" s="4" t="str">
        <x:v>0</x:v>
      </x:c>
      <x:c r="I69" s="4" t="str">
        <x:v>枚举：0,1,2</x:v>
      </x:c>
      <x:c r="J69" s="4" t="str"/>
      <x:c r="K69" s="4" t="str">
        <x:v>检测方式：定义检测框中心点的位置。默认在底部。可选顶部、底部、中心。</x:v>
      </x:c>
      <x:c r="L69" s="4" t="str">
        <x:v>依次选每个枚举；非法值；保存刷新；触发依赖字段</x:v>
      </x:c>
      <x:c r="M69" s="4" t="str">
        <x:v>ALG-15</x:v>
      </x:c>
      <x:c r="N69" s="4" t="str">
        <x:v>未执行</x:v>
      </x:c>
      <x:c r="O69" s="12" t="str"/>
    </x:row>
    <x:row r="70" ht="32" customHeight="1">
      <x:c r="A70" s="9" t="str">
        <x:v>PAR-0066</x:v>
      </x:c>
      <x:c r="B70" s="9" t="str">
        <x:v>模板</x:v>
      </x:c>
      <x:c r="C70" s="9" t="str">
        <x:v>15</x:v>
      </x:c>
      <x:c r="D70" s="9" t="str">
        <x:v>未戴安全帽</x:v>
      </x:c>
      <x:c r="E70" s="9" t="str">
        <x:v>aiParam.1001003.trackDynamicMatch</x:v>
      </x:c>
      <x:c r="F70" s="9" t="str">
        <x:v>行人检测追踪半径</x:v>
      </x:c>
      <x:c r="G70" s="9" t="str">
        <x:v>bm1688,cv186x,x86</x:v>
      </x:c>
      <x:c r="H70" s="9" t="str">
        <x:v>2.3</x:v>
      </x:c>
      <x:c r="I70" s="9" t="str">
        <x:v>min=; max=; regex=</x:v>
      </x:c>
      <x:c r="J70" s="9" t="str"/>
      <x:c r="K70" s="9" t="str">
        <x:v>追踪半径，跟追踪帧数也有关系。范围：0~100，例如：2.3</x:v>
      </x:c>
      <x:c r="L70" s="9" t="str">
        <x:v>默认/合法替代/空/非法类型；按已确认范围测min、max及相邻越界；保存回读并验证行为</x:v>
      </x:c>
      <x:c r="M70" s="9" t="str">
        <x:v>ALG-15</x:v>
      </x:c>
      <x:c r="N70" s="9" t="str">
        <x:v>未执行</x:v>
      </x:c>
      <x:c r="O70" s="12" t="str"/>
    </x:row>
    <x:row r="71" ht="32" customHeight="1">
      <x:c r="A71" s="4" t="str">
        <x:v>PAR-0067</x:v>
      </x:c>
      <x:c r="B71" s="4" t="str">
        <x:v>模板</x:v>
      </x:c>
      <x:c r="C71" s="4" t="str">
        <x:v>15</x:v>
      </x:c>
      <x:c r="D71" s="4" t="str">
        <x:v>未戴安全帽</x:v>
      </x:c>
      <x:c r="E71" s="4" t="str">
        <x:v>aiParam.1001003.frames</x:v>
      </x:c>
      <x:c r="F71" s="4" t="str">
        <x:v>行人检测追踪历史帧数</x:v>
      </x:c>
      <x:c r="G71" s="4" t="str">
        <x:v>bm1688,cv186x,x86</x:v>
      </x:c>
      <x:c r="H71" s="4" t="str">
        <x:v>10</x:v>
      </x:c>
      <x:c r="I71" s="4" t="str">
        <x:v>min=; max=; regex=/^([2-9]|[1-9][0-9]|100)$/</x:v>
      </x:c>
      <x:c r="J71" s="4" t="str"/>
      <x:c r="K71" s="4" t="str">
        <x:v>追踪历史帧数。范围：2~100</x:v>
      </x:c>
      <x:c r="L71" s="4" t="str">
        <x:v>默认/合法替代/空/非法类型；按已确认范围测min、max及相邻越界；保存回读并验证行为</x:v>
      </x:c>
      <x:c r="M71" s="4" t="str">
        <x:v>ALG-15</x:v>
      </x:c>
      <x:c r="N71" s="4" t="str">
        <x:v>未执行</x:v>
      </x:c>
      <x:c r="O71" s="12" t="str"/>
    </x:row>
    <x:row r="72" ht="32" customHeight="1">
      <x:c r="A72" s="9" t="str">
        <x:v>PAR-0068</x:v>
      </x:c>
      <x:c r="B72" s="9" t="str">
        <x:v>模板</x:v>
      </x:c>
      <x:c r="C72" s="9" t="str">
        <x:v>15</x:v>
      </x:c>
      <x:c r="D72" s="9" t="str">
        <x:v>未戴安全帽</x:v>
      </x:c>
      <x:c r="E72" s="9" t="str">
        <x:v>aiParam.1001003.motion</x:v>
      </x:c>
      <x:c r="F72" s="9" t="str">
        <x:v>行人检测静止阈值</x:v>
      </x:c>
      <x:c r="G72" s="9" t="str">
        <x:v>bm1688,cv186x,x86</x:v>
      </x:c>
      <x:c r="H72" s="9" t="str">
        <x:v>80.0</x:v>
      </x:c>
      <x:c r="I72" s="9" t="str">
        <x:v>min=; max=; regex=</x:v>
      </x:c>
      <x:c r="J72" s="9" t="str"/>
      <x:c r="K72" s="9" t="str">
        <x:v>静止阈值。范围：1~99，例如：80.0</x:v>
      </x:c>
      <x:c r="L72" s="9" t="str">
        <x:v>默认/合法替代/空/非法类型；按已确认范围测min、max及相邻越界；保存回读并验证行为</x:v>
      </x:c>
      <x:c r="M72" s="9" t="str">
        <x:v>ALG-15</x:v>
      </x:c>
      <x:c r="N72" s="9" t="str">
        <x:v>未执行</x:v>
      </x:c>
      <x:c r="O72" s="12" t="str"/>
    </x:row>
    <x:row r="73" ht="40" customHeight="1">
      <x:c r="A73" s="4" t="str">
        <x:v>PAR-0069</x:v>
      </x:c>
      <x:c r="B73" s="4" t="str">
        <x:v>模板</x:v>
      </x:c>
      <x:c r="C73" s="4" t="str">
        <x:v>15</x:v>
      </x:c>
      <x:c r="D73" s="4" t="str">
        <x:v>未戴安全帽</x:v>
      </x:c>
      <x:c r="E73" s="4" t="str">
        <x:v>filter.pedestrian.side.min</x:v>
      </x:c>
      <x:c r="F73" s="4" t="str">
        <x:v>最小行人尺寸</x:v>
      </x:c>
      <x:c r="G73" s="4" t="str">
        <x:v>bm1688,cv186x,x86</x:v>
      </x:c>
      <x:c r="H73" s="4" t="str">
        <x:v>60</x:v>
      </x:c>
      <x:c r="I73" s="4" t="str">
        <x:v>min=; max=; regex=/^(0|[1-9]|[1-9][0-9]|[1-9][0-9][0-9]|[1-9][0-9][0-9][0-9]|10000)$/</x:v>
      </x:c>
      <x:c r="J73" s="4" t="str"/>
      <x:c r="K73" s="4" t="str">
        <x:v>最小行人尺寸：行人抓拍照片的最小图像尺寸。如输入值为100，则最小行人尺寸为100*100像素。范围：10px~1000像素 默认：100像素。</x:v>
      </x:c>
      <x:c r="L73" s="4" t="str">
        <x:v>默认/合法替代/空/非法类型；按已确认范围测min、max及相邻越界；保存回读并验证行为</x:v>
      </x:c>
      <x:c r="M73" s="4" t="str">
        <x:v>ALG-15</x:v>
      </x:c>
      <x:c r="N73" s="4" t="str">
        <x:v>未执行</x:v>
      </x:c>
      <x:c r="O73" s="12" t="str"/>
    </x:row>
    <x:row r="74" ht="32" customHeight="1">
      <x:c r="A74" s="9" t="str">
        <x:v>PAR-0070</x:v>
      </x:c>
      <x:c r="B74" s="9" t="str">
        <x:v>模板</x:v>
      </x:c>
      <x:c r="C74" s="9" t="str">
        <x:v>15</x:v>
      </x:c>
      <x:c r="D74" s="9" t="str">
        <x:v>未戴安全帽</x:v>
      </x:c>
      <x:c r="E74" s="9" t="str">
        <x:v>aiParam.pedHelmet.confidence</x:v>
      </x:c>
      <x:c r="F74" s="9" t="str">
        <x:v>头盔置信度</x:v>
      </x:c>
      <x:c r="G74" s="9" t="str">
        <x:v>bm1688,cv186x,x86</x:v>
      </x:c>
      <x:c r="H74" s="9" t="str"/>
      <x:c r="I74" s="9" t="str">
        <x:v>min=; max=; regex=</x:v>
      </x:c>
      <x:c r="J74" s="9" t="str"/>
      <x:c r="K74" s="9" t="str">
        <x:v>头盔置信度，范围：0.0~1.0，限小数点后3位。</x:v>
      </x:c>
      <x:c r="L74" s="9" t="str">
        <x:v>默认/合法替代/空/非法类型；按已确认范围测min、max及相邻越界；保存回读并验证行为</x:v>
      </x:c>
      <x:c r="M74" s="9" t="str">
        <x:v>ALG-15</x:v>
      </x:c>
      <x:c r="N74" s="9" t="str">
        <x:v>未执行</x:v>
      </x:c>
      <x:c r="O74" s="12" t="str"/>
    </x:row>
    <x:row r="75" ht="32" customHeight="1">
      <x:c r="A75" s="4" t="str">
        <x:v>PAR-0071</x:v>
      </x:c>
      <x:c r="B75" s="4" t="str">
        <x:v>模板</x:v>
      </x:c>
      <x:c r="C75" s="4" t="str">
        <x:v>15</x:v>
      </x:c>
      <x:c r="D75" s="4" t="str">
        <x:v>未戴安全帽</x:v>
      </x:c>
      <x:c r="E75" s="4" t="str">
        <x:v>aiParam.pedHelmet.confidenceConfig</x:v>
      </x:c>
      <x:c r="F75" s="4" t="str">
        <x:v>头盔置信度偏移</x:v>
      </x:c>
      <x:c r="G75" s="4" t="str">
        <x:v>bm1688,cv186x,x86</x:v>
      </x:c>
      <x:c r="H75" s="4" t="str">
        <x:v>1,0</x:v>
      </x:c>
      <x:c r="I75" s="4" t="str">
        <x:v>min=; max=; regex=</x:v>
      </x:c>
      <x:c r="J75" s="4" t="str"/>
      <x:c r="K75" s="4" t="str">
        <x:v>头盔置信度偏移，默认为严格阈值。可选严格阈值、推荐阈值。</x:v>
      </x:c>
      <x:c r="L75" s="4" t="str">
        <x:v>默认/合法替代/空/非法类型；按已确认范围测min、max及相邻越界；保存回读并验证行为</x:v>
      </x:c>
      <x:c r="M75" s="4" t="str">
        <x:v>ALG-15</x:v>
      </x:c>
      <x:c r="N75" s="4" t="str">
        <x:v>未执行</x:v>
      </x:c>
      <x:c r="O75" s="12" t="str"/>
    </x:row>
    <x:row r="76" ht="32" customHeight="1">
      <x:c r="A76" s="9" t="str">
        <x:v>PAR-0072</x:v>
      </x:c>
      <x:c r="B76" s="9" t="str">
        <x:v>模板</x:v>
      </x:c>
      <x:c r="C76" s="9" t="str">
        <x:v>15</x:v>
      </x:c>
      <x:c r="D76" s="9" t="str">
        <x:v>未戴安全帽</x:v>
      </x:c>
      <x:c r="E76" s="9" t="str">
        <x:v>aiParam.hatless.confidence</x:v>
      </x:c>
      <x:c r="F76" s="9" t="str">
        <x:v>无帽置信度</x:v>
      </x:c>
      <x:c r="G76" s="9" t="str">
        <x:v>bm1688,cv186x,x86</x:v>
      </x:c>
      <x:c r="H76" s="9" t="str"/>
      <x:c r="I76" s="9" t="str">
        <x:v>min=; max=; regex=</x:v>
      </x:c>
      <x:c r="J76" s="9" t="str"/>
      <x:c r="K76" s="9" t="str">
        <x:v>无帽置信度，范围：0.0~1.0，限小数点后3位。</x:v>
      </x:c>
      <x:c r="L76" s="9" t="str">
        <x:v>默认/合法替代/空/非法类型；按已确认范围测min、max及相邻越界；保存回读并验证行为</x:v>
      </x:c>
      <x:c r="M76" s="9" t="str">
        <x:v>ALG-15</x:v>
      </x:c>
      <x:c r="N76" s="9" t="str">
        <x:v>未执行</x:v>
      </x:c>
      <x:c r="O76" s="12" t="str"/>
    </x:row>
    <x:row r="77" ht="32" customHeight="1">
      <x:c r="A77" s="4" t="str">
        <x:v>PAR-0073</x:v>
      </x:c>
      <x:c r="B77" s="4" t="str">
        <x:v>模板</x:v>
      </x:c>
      <x:c r="C77" s="4" t="str">
        <x:v>15</x:v>
      </x:c>
      <x:c r="D77" s="4" t="str">
        <x:v>未戴安全帽</x:v>
      </x:c>
      <x:c r="E77" s="4" t="str">
        <x:v>aiParam.hatless.confidenceConfig</x:v>
      </x:c>
      <x:c r="F77" s="4" t="str">
        <x:v>无帽置信度偏移</x:v>
      </x:c>
      <x:c r="G77" s="4" t="str">
        <x:v>bm1688,cv186x,x86</x:v>
      </x:c>
      <x:c r="H77" s="4" t="str">
        <x:v>0,0</x:v>
      </x:c>
      <x:c r="I77" s="4" t="str">
        <x:v>min=; max=; regex=</x:v>
      </x:c>
      <x:c r="J77" s="4" t="str"/>
      <x:c r="K77" s="4" t="str">
        <x:v>无帽置信度偏移，默认为严格阈值。可选严格阈值、推荐阈值。</x:v>
      </x:c>
      <x:c r="L77" s="4" t="str">
        <x:v>默认/合法替代/空/非法类型；按已确认范围测min、max及相邻越界；保存回读并验证行为</x:v>
      </x:c>
      <x:c r="M77" s="4" t="str">
        <x:v>ALG-15</x:v>
      </x:c>
      <x:c r="N77" s="4" t="str">
        <x:v>未执行</x:v>
      </x:c>
      <x:c r="O77" s="12" t="str"/>
    </x:row>
    <x:row r="78" ht="32" customHeight="1">
      <x:c r="A78" s="9" t="str">
        <x:v>PAR-0074</x:v>
      </x:c>
      <x:c r="B78" s="9" t="str">
        <x:v>模板</x:v>
      </x:c>
      <x:c r="C78" s="9" t="str">
        <x:v>15</x:v>
      </x:c>
      <x:c r="D78" s="9" t="str">
        <x:v>未戴安全帽</x:v>
      </x:c>
      <x:c r="E78" s="9" t="str">
        <x:v>aiParam.unsure.confidence</x:v>
      </x:c>
      <x:c r="F78" s="9" t="str">
        <x:v>不确定置信度</x:v>
      </x:c>
      <x:c r="G78" s="9" t="str">
        <x:v>bm1688,cv186x,x86</x:v>
      </x:c>
      <x:c r="H78" s="9" t="str"/>
      <x:c r="I78" s="9" t="str">
        <x:v>min=; max=; regex=</x:v>
      </x:c>
      <x:c r="J78" s="9" t="str"/>
      <x:c r="K78" s="9" t="str">
        <x:v>不确定置信度，范围：0.0~1.0，限小数点后3位。</x:v>
      </x:c>
      <x:c r="L78" s="9" t="str">
        <x:v>默认/合法替代/空/非法类型；按已确认范围测min、max及相邻越界；保存回读并验证行为</x:v>
      </x:c>
      <x:c r="M78" s="9" t="str">
        <x:v>ALG-15</x:v>
      </x:c>
      <x:c r="N78" s="9" t="str">
        <x:v>未执行</x:v>
      </x:c>
      <x:c r="O78" s="12" t="str"/>
    </x:row>
    <x:row r="79" ht="32" customHeight="1">
      <x:c r="A79" s="4" t="str">
        <x:v>PAR-0075</x:v>
      </x:c>
      <x:c r="B79" s="4" t="str">
        <x:v>模板</x:v>
      </x:c>
      <x:c r="C79" s="4" t="str">
        <x:v>15</x:v>
      </x:c>
      <x:c r="D79" s="4" t="str">
        <x:v>未戴安全帽</x:v>
      </x:c>
      <x:c r="E79" s="4" t="str">
        <x:v>aiParam.unsure.confidenceConfig</x:v>
      </x:c>
      <x:c r="F79" s="4" t="str">
        <x:v>不确定置信度偏移</x:v>
      </x:c>
      <x:c r="G79" s="4" t="str">
        <x:v>bm1688,cv186x,x86</x:v>
      </x:c>
      <x:c r="H79" s="4" t="str">
        <x:v>1,0</x:v>
      </x:c>
      <x:c r="I79" s="4" t="str">
        <x:v>min=; max=; regex=</x:v>
      </x:c>
      <x:c r="J79" s="4" t="str"/>
      <x:c r="K79" s="4" t="str">
        <x:v>不确定置信度偏移，默认为严格阈值。可选严格阈值、推荐阈值。</x:v>
      </x:c>
      <x:c r="L79" s="4" t="str">
        <x:v>默认/合法替代/空/非法类型；按已确认范围测min、max及相邻越界；保存回读并验证行为</x:v>
      </x:c>
      <x:c r="M79" s="4" t="str">
        <x:v>ALG-15</x:v>
      </x:c>
      <x:c r="N79" s="4" t="str">
        <x:v>未执行</x:v>
      </x:c>
      <x:c r="O79" s="12" t="str"/>
    </x:row>
    <x:row r="80" ht="40" customHeight="1">
      <x:c r="A80" s="9" t="str">
        <x:v>PAR-0076</x:v>
      </x:c>
      <x:c r="B80" s="9" t="str">
        <x:v>模板</x:v>
      </x:c>
      <x:c r="C80" s="9" t="str">
        <x:v>15</x:v>
      </x:c>
      <x:c r="D80" s="9" t="str">
        <x:v>未戴安全帽</x:v>
      </x:c>
      <x:c r="E80" s="9" t="str">
        <x:v>param.sensitivity</x:v>
      </x:c>
      <x:c r="F80" s="9" t="str">
        <x:v>灵敏度</x:v>
      </x:c>
      <x:c r="G80" s="9" t="str">
        <x:v>bm1688,cv186x,x86</x:v>
      </x:c>
      <x:c r="H80" s="9" t="str">
        <x:v>2</x:v>
      </x:c>
      <x:c r="I80" s="9" t="str">
        <x:v>min=; max=; regex=/^([1-9]|10)$/</x:v>
      </x:c>
      <x:c r="J80" s="9" t="str"/>
      <x:c r="K80" s="9" t="str">
        <x:v>灵敏度：用于计算总数范围内的命中数。如总数为10，取帧频率为3，则需时间≥10/3秒，才有可能产生告警。</x:v>
      </x:c>
      <x:c r="L80" s="9" t="str">
        <x:v>默认/合法替代/空/非法类型；按已确认范围测min、max及相邻越界；保存回读并验证行为</x:v>
      </x:c>
      <x:c r="M80" s="9" t="str">
        <x:v>ALG-15</x:v>
      </x:c>
      <x:c r="N80" s="9" t="str">
        <x:v>未执行</x:v>
      </x:c>
      <x:c r="O80" s="12" t="str"/>
    </x:row>
    <x:row r="81" ht="40" customHeight="1">
      <x:c r="A81" s="4" t="str">
        <x:v>PAR-0077</x:v>
      </x:c>
      <x:c r="B81" s="4" t="str">
        <x:v>模板</x:v>
      </x:c>
      <x:c r="C81" s="4" t="str">
        <x:v>15</x:v>
      </x:c>
      <x:c r="D81" s="4" t="str">
        <x:v>未戴安全帽</x:v>
      </x:c>
      <x:c r="E81" s="4" t="str">
        <x:v>param.detectionDuration</x:v>
      </x:c>
      <x:c r="F81" s="4" t="str">
        <x:v>检测时间（秒）</x:v>
      </x:c>
      <x:c r="G81" s="4" t="str">
        <x:v>bm1688,cv186x,x86</x:v>
      </x:c>
      <x:c r="H81" s="4" t="str">
        <x:v>3</x:v>
      </x:c>
      <x:c r="I81" s="4" t="str">
        <x:v>min=; max=; regex=/^([1-9]|[1-9][0-9]|[1-9][0-9][0-9]|[1-2][0-9][0-9][0-9]|[3][0-5][0-9][0-9]|3600)$/</x:v>
      </x:c>
      <x:c r="J81" s="4" t="str"/>
      <x:c r="K81" s="4" t="str">
        <x:v>检测时间：范围：1-3600。默认2。</x:v>
      </x:c>
      <x:c r="L81" s="4" t="str">
        <x:v>默认/合法替代/空/非法类型；按已确认范围测min、max及相邻越界；保存回读并验证行为</x:v>
      </x:c>
      <x:c r="M81" s="4" t="str">
        <x:v>ALG-15</x:v>
      </x:c>
      <x:c r="N81" s="4" t="str">
        <x:v>未执行</x:v>
      </x:c>
      <x:c r="O81" s="12" t="str"/>
    </x:row>
    <x:row r="82" ht="40" customHeight="1">
      <x:c r="A82" s="9" t="str">
        <x:v>PAR-0078</x:v>
      </x:c>
      <x:c r="B82" s="9" t="str">
        <x:v>模板</x:v>
      </x:c>
      <x:c r="C82" s="9" t="str">
        <x:v>16</x:v>
      </x:c>
      <x:c r="D82" s="9" t="str">
        <x:v>离岗检测</x:v>
      </x:c>
      <x:c r="E82" s="9" t="str">
        <x:v>filter.pedestrian.side.min</x:v>
      </x:c>
      <x:c r="F82" s="9" t="str">
        <x:v>最小行人尺寸</x:v>
      </x:c>
      <x:c r="G82" s="9" t="str">
        <x:v>bm1688,cv186x,x86</x:v>
      </x:c>
      <x:c r="H82" s="9" t="str">
        <x:v>60</x:v>
      </x:c>
      <x:c r="I82" s="9" t="str">
        <x:v>min=; max=; regex=/^(0|[1-9]|[1-9][0-9]|[1-9][0-9][0-9]|[1-9][0-9][0-9][0-9]|10000)$/</x:v>
      </x:c>
      <x:c r="J82" s="9" t="str">
        <x:v>{"key":"custom.detection","value":"0"}</x:v>
      </x:c>
      <x:c r="K82" s="9" t="str">
        <x:v>最小行人尺寸：行人抓拍照片的最小图像尺寸。如输入值为100，则最小行人尺寸为100*100像素。范围：10px~1000像素 默认：100像素。</x:v>
      </x:c>
      <x:c r="L82" s="9" t="str">
        <x:v>默认/合法替代/空/非法类型；按已确认范围测min、max及相邻越界；保存回读并验证行为</x:v>
      </x:c>
      <x:c r="M82" s="9" t="str">
        <x:v>ALG-16</x:v>
      </x:c>
      <x:c r="N82" s="9" t="str">
        <x:v>未执行</x:v>
      </x:c>
      <x:c r="O82" s="12" t="str"/>
    </x:row>
    <x:row r="83" ht="32" customHeight="1">
      <x:c r="A83" s="4" t="str">
        <x:v>PAR-0079</x:v>
      </x:c>
      <x:c r="B83" s="4" t="str">
        <x:v>模板</x:v>
      </x:c>
      <x:c r="C83" s="4" t="str">
        <x:v>16</x:v>
      </x:c>
      <x:c r="D83" s="4" t="str">
        <x:v>离岗检测</x:v>
      </x:c>
      <x:c r="E83" s="4" t="str">
        <x:v>aiParam.pedestrian.confidence</x:v>
      </x:c>
      <x:c r="F83" s="4" t="str">
        <x:v>行人置信度</x:v>
      </x:c>
      <x:c r="G83" s="4" t="str">
        <x:v>bm1688,cv186x,x86</x:v>
      </x:c>
      <x:c r="H83" s="4" t="str"/>
      <x:c r="I83" s="4" t="str">
        <x:v>min=; max=; regex=</x:v>
      </x:c>
      <x:c r="J83" s="4" t="str">
        <x:v>{"key":"custom.detection","value":"0"}</x:v>
      </x:c>
      <x:c r="K83" s="4" t="str">
        <x:v>行人置信度，范围：0.0~1.0，限小数点后3位。</x:v>
      </x:c>
      <x:c r="L83" s="4" t="str">
        <x:v>默认/合法替代/空/非法类型；按已确认范围测min、max及相邻越界；保存回读并验证行为</x:v>
      </x:c>
      <x:c r="M83" s="4" t="str">
        <x:v>ALG-16</x:v>
      </x:c>
      <x:c r="N83" s="4" t="str">
        <x:v>未执行</x:v>
      </x:c>
      <x:c r="O83" s="12" t="str"/>
    </x:row>
    <x:row r="84" ht="32" customHeight="1">
      <x:c r="A84" s="9" t="str">
        <x:v>PAR-0080</x:v>
      </x:c>
      <x:c r="B84" s="9" t="str">
        <x:v>模板</x:v>
      </x:c>
      <x:c r="C84" s="9" t="str">
        <x:v>16</x:v>
      </x:c>
      <x:c r="D84" s="9" t="str">
        <x:v>离岗检测</x:v>
      </x:c>
      <x:c r="E84" s="9" t="str">
        <x:v>aiParam.pedestrian.confidenceConfig</x:v>
      </x:c>
      <x:c r="F84" s="9" t="str">
        <x:v>行人置信度偏移</x:v>
      </x:c>
      <x:c r="G84" s="9" t="str">
        <x:v>bm1688,cv186x,x86</x:v>
      </x:c>
      <x:c r="H84" s="9" t="str">
        <x:v>1,0</x:v>
      </x:c>
      <x:c r="I84" s="9" t="str">
        <x:v>min=; max=; regex=</x:v>
      </x:c>
      <x:c r="J84" s="9" t="str">
        <x:v>{"key":"custom.detection","value":"0"}</x:v>
      </x:c>
      <x:c r="K84" s="9" t="str">
        <x:v>行人置信度偏移，默认为严格阈值。可选严格阈值、推荐阈值。</x:v>
      </x:c>
      <x:c r="L84" s="9" t="str">
        <x:v>默认/合法替代/空/非法类型；按已确认范围测min、max及相邻越界；保存回读并验证行为</x:v>
      </x:c>
      <x:c r="M84" s="9" t="str">
        <x:v>ALG-16</x:v>
      </x:c>
      <x:c r="N84" s="9" t="str">
        <x:v>未执行</x:v>
      </x:c>
      <x:c r="O84" s="12" t="str"/>
    </x:row>
    <x:row r="85" ht="32" customHeight="1">
      <x:c r="A85" s="4" t="str">
        <x:v>PAR-0081</x:v>
      </x:c>
      <x:c r="B85" s="4" t="str">
        <x:v>模板</x:v>
      </x:c>
      <x:c r="C85" s="4" t="str">
        <x:v>16</x:v>
      </x:c>
      <x:c r="D85" s="4" t="str">
        <x:v>离岗检测</x:v>
      </x:c>
      <x:c r="E85" s="4" t="str">
        <x:v>aiParam.pedestrian.detPostion</x:v>
      </x:c>
      <x:c r="F85" s="4" t="str">
        <x:v>行人检测方式</x:v>
      </x:c>
      <x:c r="G85" s="4" t="str">
        <x:v>bm1688,cv186x,x86</x:v>
      </x:c>
      <x:c r="H85" s="4" t="str">
        <x:v>1</x:v>
      </x:c>
      <x:c r="I85" s="4" t="str">
        <x:v>枚举：0,1,2</x:v>
      </x:c>
      <x:c r="J85" s="4" t="str">
        <x:v>{"key":"custom.detection","value":"0"}</x:v>
      </x:c>
      <x:c r="K85" s="4" t="str">
        <x:v>检测方式：定义检测框中心点的位置。默认在底部。可选顶部、底部、中心。</x:v>
      </x:c>
      <x:c r="L85" s="4" t="str">
        <x:v>依次选每个枚举；非法值；保存刷新；触发依赖字段</x:v>
      </x:c>
      <x:c r="M85" s="4" t="str">
        <x:v>ALG-16</x:v>
      </x:c>
      <x:c r="N85" s="4" t="str">
        <x:v>未执行</x:v>
      </x:c>
      <x:c r="O85" s="12" t="str"/>
    </x:row>
    <x:row r="86" ht="40" customHeight="1">
      <x:c r="A86" s="9" t="str">
        <x:v>PAR-0082</x:v>
      </x:c>
      <x:c r="B86" s="9" t="str">
        <x:v>模板</x:v>
      </x:c>
      <x:c r="C86" s="9" t="str">
        <x:v>16</x:v>
      </x:c>
      <x:c r="D86" s="9" t="str">
        <x:v>离岗检测</x:v>
      </x:c>
      <x:c r="E86" s="9" t="str">
        <x:v>param.alarmInterval</x:v>
      </x:c>
      <x:c r="F86" s="9" t="str">
        <x:v>告警时间间隔（秒）</x:v>
      </x:c>
      <x:c r="G86" s="9" t="str">
        <x:v>bm1688,cv186x,x86</x:v>
      </x:c>
      <x:c r="H86" s="9" t="str">
        <x:v>60</x:v>
      </x:c>
      <x:c r="I86" s="9" t="str">
        <x:v>min=; max=; regex=/^([1-9]|[1-9][0-9]|[1-9][0-9][0-9]|[1-9][0-9][0-9][0-9]|[1-2][0-9][0-9][0-9][0-9]|[3][0-5][0-9][0-9][0-9]|36000)$/</x:v>
      </x:c>
      <x:c r="J86" s="9" t="str"/>
      <x:c r="K86" s="9" t="str">
        <x:v>告警时间间隔：2次告警事件的间隔。范围：1~36000秒，默认：60秒。</x:v>
      </x:c>
      <x:c r="L86" s="9" t="str">
        <x:v>默认/合法替代/空/非法类型；按已确认范围测min、max及相邻越界；保存回读并验证行为</x:v>
      </x:c>
      <x:c r="M86" s="9" t="str">
        <x:v>ALG-16</x:v>
      </x:c>
      <x:c r="N86" s="9" t="str">
        <x:v>未执行</x:v>
      </x:c>
      <x:c r="O86" s="12" t="str"/>
    </x:row>
    <x:row r="87" ht="40" customHeight="1">
      <x:c r="A87" s="4" t="str">
        <x:v>PAR-0083</x:v>
      </x:c>
      <x:c r="B87" s="4" t="str">
        <x:v>模板</x:v>
      </x:c>
      <x:c r="C87" s="4" t="str">
        <x:v>16</x:v>
      </x:c>
      <x:c r="D87" s="4" t="str">
        <x:v>离岗检测</x:v>
      </x:c>
      <x:c r="E87" s="4" t="str">
        <x:v>param.restrainSwitch</x:v>
      </x:c>
      <x:c r="F87" s="4" t="str">
        <x:v>静止目标去重</x:v>
      </x:c>
      <x:c r="G87" s="4" t="str">
        <x:v>bm1688,cv186x,x86</x:v>
      </x:c>
      <x:c r="H87" s="4" t="str">
        <x:v>0</x:v>
      </x:c>
      <x:c r="I87" s="4" t="str">
        <x:v>min=; max=; regex=/^[01]$/</x:v>
      </x:c>
      <x:c r="J87" s="4" t="str"/>
      <x:c r="K87" s="4" t="str">
        <x:v>静止目标去重：对于告警目标，开启此功能后，将进行目标静止状态检测，如判定为静止目标，则不会重复报警。</x:v>
      </x:c>
      <x:c r="L87" s="4" t="str">
        <x:v>默认/合法替代/空/非法类型；按已确认范围测min、max及相邻越界；保存回读并验证行为</x:v>
      </x:c>
      <x:c r="M87" s="4" t="str">
        <x:v>ALG-16</x:v>
      </x:c>
      <x:c r="N87" s="4" t="str">
        <x:v>未执行</x:v>
      </x:c>
      <x:c r="O87" s="12" t="str"/>
    </x:row>
    <x:row r="88" ht="32" customHeight="1">
      <x:c r="A88" s="9" t="str">
        <x:v>PAR-0084</x:v>
      </x:c>
      <x:c r="B88" s="9" t="str">
        <x:v>模板</x:v>
      </x:c>
      <x:c r="C88" s="9" t="str">
        <x:v>16</x:v>
      </x:c>
      <x:c r="D88" s="9" t="str">
        <x:v>离岗检测</x:v>
      </x:c>
      <x:c r="E88" s="9" t="str">
        <x:v>param.overlapRate</x:v>
      </x:c>
      <x:c r="F88" s="9" t="str">
        <x:v>静止目标重叠率</x:v>
      </x:c>
      <x:c r="G88" s="9" t="str">
        <x:v>bm1688,cv186x,x86</x:v>
      </x:c>
      <x:c r="H88" s="9" t="str">
        <x:v>0.2</x:v>
      </x:c>
      <x:c r="I88" s="9" t="str">
        <x:v>min=; max=; regex=/^(0(\.\d{1,3})?|1(\.0{1,3})?)$/</x:v>
      </x:c>
      <x:c r="J88" s="9" t="str">
        <x:v>{"key":"param.restrainSwitch","value":"1"}</x:v>
      </x:c>
      <x:c r="K88" s="9" t="str">
        <x:v>静止目标重叠率，范围：0.0~1.0，限小数点后3位，默认：0.2。</x:v>
      </x:c>
      <x:c r="L88" s="9" t="str">
        <x:v>默认/合法替代/空/非法类型；按已确认范围测min、max及相邻越界；保存回读并验证行为</x:v>
      </x:c>
      <x:c r="M88" s="9" t="str">
        <x:v>ALG-16</x:v>
      </x:c>
      <x:c r="N88" s="9" t="str">
        <x:v>未执行</x:v>
      </x:c>
      <x:c r="O88" s="12" t="str"/>
    </x:row>
    <x:row r="89" ht="32" customHeight="1">
      <x:c r="A89" s="4" t="str">
        <x:v>PAR-0085</x:v>
      </x:c>
      <x:c r="B89" s="4" t="str">
        <x:v>模板</x:v>
      </x:c>
      <x:c r="C89" s="4" t="str">
        <x:v>16</x:v>
      </x:c>
      <x:c r="D89" s="4" t="str">
        <x:v>离岗检测</x:v>
      </x:c>
      <x:c r="E89" s="4" t="str">
        <x:v>param.restrainTime</x:v>
      </x:c>
      <x:c r="F89" s="4" t="str">
        <x:v>静止目标去重时间(小时)</x:v>
      </x:c>
      <x:c r="G89" s="4" t="str">
        <x:v>bm1688,cv186x,x86</x:v>
      </x:c>
      <x:c r="H89" s="4" t="str">
        <x:v>6</x:v>
      </x:c>
      <x:c r="I89" s="4" t="str">
        <x:v>min=; max=; regex=/^([0-9]|[1][0-9]|[2][0-4])$/</x:v>
      </x:c>
      <x:c r="J89" s="4" t="str">
        <x:v>{"key":"param.restrainSwitch","value":"1"}</x:v>
      </x:c>
      <x:c r="K89" s="4" t="str">
        <x:v>静止目标去重时间，范围：1~24小时，默认：6小时。</x:v>
      </x:c>
      <x:c r="L89" s="4" t="str">
        <x:v>默认/合法替代/空/非法类型；按已确认范围测min、max及相邻越界；保存回读并验证行为</x:v>
      </x:c>
      <x:c r="M89" s="4" t="str">
        <x:v>ALG-16</x:v>
      </x:c>
      <x:c r="N89" s="4" t="str">
        <x:v>未执行</x:v>
      </x:c>
      <x:c r="O89" s="12" t="str"/>
    </x:row>
    <x:row r="90" ht="40" customHeight="1">
      <x:c r="A90" s="9" t="str">
        <x:v>PAR-0086</x:v>
      </x:c>
      <x:c r="B90" s="9" t="str">
        <x:v>模板</x:v>
      </x:c>
      <x:c r="C90" s="9" t="str">
        <x:v>16</x:v>
      </x:c>
      <x:c r="D90" s="9" t="str">
        <x:v>离岗检测</x:v>
      </x:c>
      <x:c r="E90" s="9" t="str">
        <x:v>param.areaLimitTargetCount</x:v>
      </x:c>
      <x:c r="F90" s="9" t="str">
        <x:v>区域中的目标数</x:v>
      </x:c>
      <x:c r="G90" s="9" t="str">
        <x:v>bm1688,cv186x,x86</x:v>
      </x:c>
      <x:c r="H90" s="9" t="str">
        <x:v>1</x:v>
      </x:c>
      <x:c r="I90" s="9" t="str">
        <x:v>min=; max=; regex=/^([0-9]|[1-9][0-9]|[1-9][0-9][0-9]|[1-2][0-9][0-9][0-9]|[3][0-5][0-9][0-9]|3600)$/</x:v>
      </x:c>
      <x:c r="J90" s="9" t="str"/>
      <x:c r="K90" s="9" t="str">
        <x:v>区域中的目标数</x:v>
      </x:c>
      <x:c r="L90" s="9" t="str">
        <x:v>默认/合法替代/空/非法类型；按已确认范围测min、max及相邻越界；保存回读并验证行为</x:v>
      </x:c>
      <x:c r="M90" s="9" t="str">
        <x:v>ALG-16</x:v>
      </x:c>
      <x:c r="N90" s="9" t="str">
        <x:v>未执行</x:v>
      </x:c>
      <x:c r="O90" s="12" t="str"/>
    </x:row>
    <x:row r="91" ht="32" customHeight="1">
      <x:c r="A91" s="4" t="str">
        <x:v>PAR-0087</x:v>
      </x:c>
      <x:c r="B91" s="4" t="str">
        <x:v>模板</x:v>
      </x:c>
      <x:c r="C91" s="4" t="str">
        <x:v>16</x:v>
      </x:c>
      <x:c r="D91" s="4" t="str">
        <x:v>离岗检测</x:v>
      </x:c>
      <x:c r="E91" s="4" t="str">
        <x:v>param.areaLimitTargetType</x:v>
      </x:c>
      <x:c r="F91" s="4" t="str">
        <x:v>区域中目标数限制类型</x:v>
      </x:c>
      <x:c r="G91" s="4" t="str">
        <x:v>bm1688,cv186x,x86</x:v>
      </x:c>
      <x:c r="H91" s="4" t="str">
        <x:v>0</x:v>
      </x:c>
      <x:c r="I91" s="4" t="str">
        <x:v>枚举：0,1,2,3,4</x:v>
      </x:c>
      <x:c r="J91" s="4" t="str"/>
      <x:c r="K91" s="4" t="str">
        <x:v>区域中目标数限制类型</x:v>
      </x:c>
      <x:c r="L91" s="4" t="str">
        <x:v>依次选每个枚举；非法值；保存刷新；触发依赖字段</x:v>
      </x:c>
      <x:c r="M91" s="4" t="str">
        <x:v>ALG-16</x:v>
      </x:c>
      <x:c r="N91" s="4" t="str">
        <x:v>未执行</x:v>
      </x:c>
      <x:c r="O91" s="12" t="str"/>
    </x:row>
    <x:row r="92" ht="32" customHeight="1">
      <x:c r="A92" s="9" t="str">
        <x:v>PAR-0088</x:v>
      </x:c>
      <x:c r="B92" s="9" t="str">
        <x:v>模板</x:v>
      </x:c>
      <x:c r="C92" s="9" t="str">
        <x:v>16</x:v>
      </x:c>
      <x:c r="D92" s="9" t="str">
        <x:v>离岗检测</x:v>
      </x:c>
      <x:c r="E92" s="9" t="str">
        <x:v>param.areaLimitDuration</x:v>
      </x:c>
      <x:c r="F92" s="9" t="str">
        <x:v>检测时间</x:v>
      </x:c>
      <x:c r="G92" s="9" t="str">
        <x:v>bm1688,cv186x,x86</x:v>
      </x:c>
      <x:c r="H92" s="9" t="str">
        <x:v>10</x:v>
      </x:c>
      <x:c r="I92" s="9" t="str">
        <x:v>min=; max=; regex=</x:v>
      </x:c>
      <x:c r="J92" s="9" t="str"/>
      <x:c r="K92" s="9" t="str">
        <x:v>检测时间：范围：1-3600000，注意时间单位</x:v>
      </x:c>
      <x:c r="L92" s="9" t="str">
        <x:v>默认/合法替代/空/非法类型；按已确认范围测min、max及相邻越界；保存回读并验证行为</x:v>
      </x:c>
      <x:c r="M92" s="9" t="str">
        <x:v>ALG-16</x:v>
      </x:c>
      <x:c r="N92" s="9" t="str">
        <x:v>未执行</x:v>
      </x:c>
      <x:c r="O92" s="12" t="str"/>
    </x:row>
    <x:row r="93" ht="32" customHeight="1">
      <x:c r="A93" s="4" t="str">
        <x:v>PAR-0089</x:v>
      </x:c>
      <x:c r="B93" s="4" t="str">
        <x:v>模板</x:v>
      </x:c>
      <x:c r="C93" s="4" t="str">
        <x:v>16</x:v>
      </x:c>
      <x:c r="D93" s="4" t="str">
        <x:v>离岗检测</x:v>
      </x:c>
      <x:c r="E93" s="4" t="str">
        <x:v>param.areaLimitDurationTimeType</x:v>
      </x:c>
      <x:c r="F93" s="4" t="str">
        <x:v>检测时间单位</x:v>
      </x:c>
      <x:c r="G93" s="4" t="str">
        <x:v>bm1688,cv186x,x86</x:v>
      </x:c>
      <x:c r="H93" s="4" t="str">
        <x:v>1000</x:v>
      </x:c>
      <x:c r="I93" s="4" t="str">
        <x:v>枚举：1,1000,60000,3600000</x:v>
      </x:c>
      <x:c r="J93" s="4" t="str"/>
      <x:c r="K93" s="4" t="str">
        <x:v>检测时间单位</x:v>
      </x:c>
      <x:c r="L93" s="4" t="str">
        <x:v>依次选每个枚举；非法值；保存刷新；触发依赖字段</x:v>
      </x:c>
      <x:c r="M93" s="4" t="str">
        <x:v>ALG-16</x:v>
      </x:c>
      <x:c r="N93" s="4" t="str">
        <x:v>未执行</x:v>
      </x:c>
      <x:c r="O93" s="12" t="str"/>
    </x:row>
    <x:row r="94" ht="32" customHeight="1">
      <x:c r="A94" s="9" t="str">
        <x:v>PAR-0090</x:v>
      </x:c>
      <x:c r="B94" s="9" t="str">
        <x:v>模板</x:v>
      </x:c>
      <x:c r="C94" s="9" t="str">
        <x:v>22</x:v>
      </x:c>
      <x:c r="D94" s="9" t="str">
        <x:v>玩手机检测</x:v>
      </x:c>
      <x:c r="E94" s="9" t="str">
        <x:v>aiParam.pedestrian.confidence</x:v>
      </x:c>
      <x:c r="F94" s="9" t="str">
        <x:v>行人置信度</x:v>
      </x:c>
      <x:c r="G94" s="9" t="str">
        <x:v>bm1688,cv186x,x86</x:v>
      </x:c>
      <x:c r="H94" s="9" t="str"/>
      <x:c r="I94" s="9" t="str">
        <x:v>min=; max=; regex=</x:v>
      </x:c>
      <x:c r="J94" s="9" t="str"/>
      <x:c r="K94" s="9" t="str">
        <x:v>行人置信度，范围：0.0~1.0，限小数点后3位。</x:v>
      </x:c>
      <x:c r="L94" s="9" t="str">
        <x:v>默认/合法替代/空/非法类型；按已确认范围测min、max及相邻越界；保存回读并验证行为</x:v>
      </x:c>
      <x:c r="M94" s="9" t="str">
        <x:v>ALG-22</x:v>
      </x:c>
      <x:c r="N94" s="9" t="str">
        <x:v>未执行</x:v>
      </x:c>
      <x:c r="O94" s="12" t="str"/>
    </x:row>
    <x:row r="95" ht="32" customHeight="1">
      <x:c r="A95" s="4" t="str">
        <x:v>PAR-0091</x:v>
      </x:c>
      <x:c r="B95" s="4" t="str">
        <x:v>模板</x:v>
      </x:c>
      <x:c r="C95" s="4" t="str">
        <x:v>22</x:v>
      </x:c>
      <x:c r="D95" s="4" t="str">
        <x:v>玩手机检测</x:v>
      </x:c>
      <x:c r="E95" s="4" t="str">
        <x:v>aiParam.pedestrian.confidenceConfig</x:v>
      </x:c>
      <x:c r="F95" s="4" t="str">
        <x:v>行人置信度偏移</x:v>
      </x:c>
      <x:c r="G95" s="4" t="str">
        <x:v>bm1688,cv186x,x86</x:v>
      </x:c>
      <x:c r="H95" s="4" t="str">
        <x:v>0,0</x:v>
      </x:c>
      <x:c r="I95" s="4" t="str">
        <x:v>min=; max=; regex=</x:v>
      </x:c>
      <x:c r="J95" s="4" t="str"/>
      <x:c r="K95" s="4" t="str">
        <x:v>行人置信度偏移，默认为严格阈值。可选严格阈值、推荐阈值。</x:v>
      </x:c>
      <x:c r="L95" s="4" t="str">
        <x:v>默认/合法替代/空/非法类型；按已确认范围测min、max及相邻越界；保存回读并验证行为</x:v>
      </x:c>
      <x:c r="M95" s="4" t="str">
        <x:v>ALG-22</x:v>
      </x:c>
      <x:c r="N95" s="4" t="str">
        <x:v>未执行</x:v>
      </x:c>
      <x:c r="O95" s="12" t="str"/>
    </x:row>
    <x:row r="96" ht="32" customHeight="1">
      <x:c r="A96" s="9" t="str">
        <x:v>PAR-0092</x:v>
      </x:c>
      <x:c r="B96" s="9" t="str">
        <x:v>模板</x:v>
      </x:c>
      <x:c r="C96" s="9" t="str">
        <x:v>22</x:v>
      </x:c>
      <x:c r="D96" s="9" t="str">
        <x:v>玩手机检测</x:v>
      </x:c>
      <x:c r="E96" s="9" t="str">
        <x:v>aiParam.pedestrian.detPostion</x:v>
      </x:c>
      <x:c r="F96" s="9" t="str">
        <x:v>行人检测方式</x:v>
      </x:c>
      <x:c r="G96" s="9" t="str">
        <x:v>bm1688,cv186x,x86</x:v>
      </x:c>
      <x:c r="H96" s="9" t="str">
        <x:v>0</x:v>
      </x:c>
      <x:c r="I96" s="9" t="str">
        <x:v>枚举：0,1,2</x:v>
      </x:c>
      <x:c r="J96" s="9" t="str"/>
      <x:c r="K96" s="9" t="str">
        <x:v>检测方式：定义检测框中心点的位置。默认在底部。可选顶部、底部、中心。</x:v>
      </x:c>
      <x:c r="L96" s="9" t="str">
        <x:v>依次选每个枚举；非法值；保存刷新；触发依赖字段</x:v>
      </x:c>
      <x:c r="M96" s="9" t="str">
        <x:v>ALG-22</x:v>
      </x:c>
      <x:c r="N96" s="9" t="str">
        <x:v>未执行</x:v>
      </x:c>
      <x:c r="O96" s="12" t="str"/>
    </x:row>
    <x:row r="97" ht="32" customHeight="1">
      <x:c r="A97" s="4" t="str">
        <x:v>PAR-0093</x:v>
      </x:c>
      <x:c r="B97" s="4" t="str">
        <x:v>模板</x:v>
      </x:c>
      <x:c r="C97" s="4" t="str">
        <x:v>22</x:v>
      </x:c>
      <x:c r="D97" s="4" t="str">
        <x:v>玩手机检测</x:v>
      </x:c>
      <x:c r="E97" s="4" t="str">
        <x:v>aiParam.1001003.trackDynamicMatch</x:v>
      </x:c>
      <x:c r="F97" s="4" t="str">
        <x:v>行人检测追踪半径</x:v>
      </x:c>
      <x:c r="G97" s="4" t="str">
        <x:v>bm1688,cv186x,x86</x:v>
      </x:c>
      <x:c r="H97" s="4" t="str">
        <x:v>2.3</x:v>
      </x:c>
      <x:c r="I97" s="4" t="str">
        <x:v>min=; max=; regex=</x:v>
      </x:c>
      <x:c r="J97" s="4" t="str"/>
      <x:c r="K97" s="4" t="str">
        <x:v>追踪半径，跟追踪帧数也有关系。范围：0~100，例如：2.3</x:v>
      </x:c>
      <x:c r="L97" s="4" t="str">
        <x:v>默认/合法替代/空/非法类型；按已确认范围测min、max及相邻越界；保存回读并验证行为</x:v>
      </x:c>
      <x:c r="M97" s="4" t="str">
        <x:v>ALG-22</x:v>
      </x:c>
      <x:c r="N97" s="4" t="str">
        <x:v>未执行</x:v>
      </x:c>
      <x:c r="O97" s="12" t="str"/>
    </x:row>
    <x:row r="98" ht="32" customHeight="1">
      <x:c r="A98" s="9" t="str">
        <x:v>PAR-0094</x:v>
      </x:c>
      <x:c r="B98" s="9" t="str">
        <x:v>模板</x:v>
      </x:c>
      <x:c r="C98" s="9" t="str">
        <x:v>22</x:v>
      </x:c>
      <x:c r="D98" s="9" t="str">
        <x:v>玩手机检测</x:v>
      </x:c>
      <x:c r="E98" s="9" t="str">
        <x:v>aiParam.pedPhonePlay.confidence</x:v>
      </x:c>
      <x:c r="F98" s="9" t="str">
        <x:v>玩手机置信度</x:v>
      </x:c>
      <x:c r="G98" s="9" t="str">
        <x:v>bm1688,cv186x,x86</x:v>
      </x:c>
      <x:c r="H98" s="9" t="str"/>
      <x:c r="I98" s="9" t="str">
        <x:v>min=; max=; regex=</x:v>
      </x:c>
      <x:c r="J98" s="9" t="str"/>
      <x:c r="K98" s="9" t="str">
        <x:v>玩手机置信度，范围：0.0~1.0，限小数点后3位。</x:v>
      </x:c>
      <x:c r="L98" s="9" t="str">
        <x:v>默认/合法替代/空/非法类型；按已确认范围测min、max及相邻越界；保存回读并验证行为</x:v>
      </x:c>
      <x:c r="M98" s="9" t="str">
        <x:v>ALG-22</x:v>
      </x:c>
      <x:c r="N98" s="9" t="str">
        <x:v>未执行</x:v>
      </x:c>
      <x:c r="O98" s="12" t="str"/>
    </x:row>
    <x:row r="99" ht="32" customHeight="1">
      <x:c r="A99" s="4" t="str">
        <x:v>PAR-0095</x:v>
      </x:c>
      <x:c r="B99" s="4" t="str">
        <x:v>模板</x:v>
      </x:c>
      <x:c r="C99" s="4" t="str">
        <x:v>22</x:v>
      </x:c>
      <x:c r="D99" s="4" t="str">
        <x:v>玩手机检测</x:v>
      </x:c>
      <x:c r="E99" s="4" t="str">
        <x:v>aiParam.pedPhonePlay.confidenceConfig</x:v>
      </x:c>
      <x:c r="F99" s="4" t="str">
        <x:v>玩手机置信度偏移</x:v>
      </x:c>
      <x:c r="G99" s="4" t="str">
        <x:v>bm1688,cv186x,x86</x:v>
      </x:c>
      <x:c r="H99" s="4" t="str">
        <x:v>0,0</x:v>
      </x:c>
      <x:c r="I99" s="4" t="str">
        <x:v>min=; max=; regex=</x:v>
      </x:c>
      <x:c r="J99" s="4" t="str"/>
      <x:c r="K99" s="4" t="str">
        <x:v>玩手机置信度偏移，默认为严格阈值。可选严格阈值、推荐阈值。</x:v>
      </x:c>
      <x:c r="L99" s="4" t="str">
        <x:v>默认/合法替代/空/非法类型；按已确认范围测min、max及相邻越界；保存回读并验证行为</x:v>
      </x:c>
      <x:c r="M99" s="4" t="str">
        <x:v>ALG-22</x:v>
      </x:c>
      <x:c r="N99" s="4" t="str">
        <x:v>未执行</x:v>
      </x:c>
      <x:c r="O99" s="12" t="str"/>
    </x:row>
    <x:row r="100" ht="40" customHeight="1">
      <x:c r="A100" s="9" t="str">
        <x:v>PAR-0096</x:v>
      </x:c>
      <x:c r="B100" s="9" t="str">
        <x:v>模板</x:v>
      </x:c>
      <x:c r="C100" s="9" t="str">
        <x:v>22</x:v>
      </x:c>
      <x:c r="D100" s="9" t="str">
        <x:v>玩手机检测</x:v>
      </x:c>
      <x:c r="E100" s="9" t="str">
        <x:v>param.targetAlarmInterval</x:v>
      </x:c>
      <x:c r="F100" s="9" t="str">
        <x:v>告警时间间隔（秒）</x:v>
      </x:c>
      <x:c r="G100" s="9" t="str">
        <x:v>bm1688,cv186x,x86</x:v>
      </x:c>
      <x:c r="H100" s="9" t="str">
        <x:v>60</x:v>
      </x:c>
      <x:c r="I100" s="9" t="str">
        <x:v>min=; max=; regex=/^([1-9]|[1-9][0-9]|[1-9][0-9][0-9]|[1-9][0-9][0-9][0-9]|[1-2][0-9][0-9][0-9][0-9]|[3][0-5][0-9][0-9][0-9]|36000)$/</x:v>
      </x:c>
      <x:c r="J100" s="9" t="str"/>
      <x:c r="K100" s="9" t="str">
        <x:v>告警时间间隔：2次告警事件的间隔。范围：1~36000秒，默认：60秒。</x:v>
      </x:c>
      <x:c r="L100" s="9" t="str">
        <x:v>默认/合法替代/空/非法类型；按已确认范围测min、max及相邻越界；保存回读并验证行为</x:v>
      </x:c>
      <x:c r="M100" s="9" t="str">
        <x:v>ALG-22</x:v>
      </x:c>
      <x:c r="N100" s="9" t="str">
        <x:v>未执行</x:v>
      </x:c>
      <x:c r="O100" s="12" t="str"/>
    </x:row>
    <x:row r="101" ht="32" customHeight="1">
      <x:c r="A101" s="4" t="str">
        <x:v>PAR-0097</x:v>
      </x:c>
      <x:c r="B101" s="4" t="str">
        <x:v>模板</x:v>
      </x:c>
      <x:c r="C101" s="4" t="str">
        <x:v>22</x:v>
      </x:c>
      <x:c r="D101" s="4" t="str">
        <x:v>玩手机检测</x:v>
      </x:c>
      <x:c r="E101" s="4" t="str">
        <x:v>param.targetAlarmCount</x:v>
      </x:c>
      <x:c r="F101" s="4" t="str">
        <x:v>告警次数</x:v>
      </x:c>
      <x:c r="G101" s="4" t="str">
        <x:v>bm1688,cv186x,x86</x:v>
      </x:c>
      <x:c r="H101" s="4" t="str">
        <x:v>1</x:v>
      </x:c>
      <x:c r="I101" s="4" t="str">
        <x:v>min=; max=; regex=/^(0|[1-9]|[1-9][0-9]|100)$/</x:v>
      </x:c>
      <x:c r="J101" s="4" t="str"/>
      <x:c r="K101" s="4" t="str">
        <x:v>告警次数：范围：0-100，默认为1。0表示不限次数。</x:v>
      </x:c>
      <x:c r="L101" s="4" t="str">
        <x:v>默认/合法替代/空/非法类型；按已确认范围测min、max及相邻越界；保存回读并验证行为</x:v>
      </x:c>
      <x:c r="M101" s="4" t="str">
        <x:v>ALG-22</x:v>
      </x:c>
      <x:c r="N101" s="4" t="str">
        <x:v>未执行</x:v>
      </x:c>
      <x:c r="O101" s="12" t="str"/>
    </x:row>
    <x:row r="102" ht="40" customHeight="1">
      <x:c r="A102" s="9" t="str">
        <x:v>PAR-0098</x:v>
      </x:c>
      <x:c r="B102" s="9" t="str">
        <x:v>模板</x:v>
      </x:c>
      <x:c r="C102" s="9" t="str">
        <x:v>22</x:v>
      </x:c>
      <x:c r="D102" s="9" t="str">
        <x:v>玩手机检测</x:v>
      </x:c>
      <x:c r="E102" s="9" t="str">
        <x:v>param.restrainSwitch</x:v>
      </x:c>
      <x:c r="F102" s="9" t="str">
        <x:v>静止目标去重</x:v>
      </x:c>
      <x:c r="G102" s="9" t="str">
        <x:v>bm1688,cv186x,x86</x:v>
      </x:c>
      <x:c r="H102" s="9" t="str">
        <x:v>0</x:v>
      </x:c>
      <x:c r="I102" s="9" t="str">
        <x:v>min=; max=; regex=/^[01]$/</x:v>
      </x:c>
      <x:c r="J102" s="9" t="str"/>
      <x:c r="K102" s="9" t="str">
        <x:v>静止目标去重：对于告警目标，开启此功能后，将进行目标静止状态检测，如判定为静止目标，则不会重复报警。</x:v>
      </x:c>
      <x:c r="L102" s="9" t="str">
        <x:v>默认/合法替代/空/非法类型；按已确认范围测min、max及相邻越界；保存回读并验证行为</x:v>
      </x:c>
      <x:c r="M102" s="9" t="str">
        <x:v>ALG-22</x:v>
      </x:c>
      <x:c r="N102" s="9" t="str">
        <x:v>未执行</x:v>
      </x:c>
      <x:c r="O102" s="12" t="str"/>
    </x:row>
    <x:row r="103" ht="32" customHeight="1">
      <x:c r="A103" s="4" t="str">
        <x:v>PAR-0099</x:v>
      </x:c>
      <x:c r="B103" s="4" t="str">
        <x:v>模板</x:v>
      </x:c>
      <x:c r="C103" s="4" t="str">
        <x:v>22</x:v>
      </x:c>
      <x:c r="D103" s="4" t="str">
        <x:v>玩手机检测</x:v>
      </x:c>
      <x:c r="E103" s="4" t="str">
        <x:v>param.overlapRate</x:v>
      </x:c>
      <x:c r="F103" s="4" t="str">
        <x:v>静止目标重叠率</x:v>
      </x:c>
      <x:c r="G103" s="4" t="str">
        <x:v>bm1688,cv186x,x86</x:v>
      </x:c>
      <x:c r="H103" s="4" t="str">
        <x:v>0.2</x:v>
      </x:c>
      <x:c r="I103" s="4" t="str">
        <x:v>min=; max=; regex=/^(0(\.\d{1,3})?|1(\.0{1,3})?)$/</x:v>
      </x:c>
      <x:c r="J103" s="4" t="str">
        <x:v>{"key":"param.restrainSwitch","value":"1"}</x:v>
      </x:c>
      <x:c r="K103" s="4" t="str">
        <x:v>静止目标重叠率，范围：0.0~1.0，限小数点后3位，默认：0.2。</x:v>
      </x:c>
      <x:c r="L103" s="4" t="str">
        <x:v>默认/合法替代/空/非法类型；按已确认范围测min、max及相邻越界；保存回读并验证行为</x:v>
      </x:c>
      <x:c r="M103" s="4" t="str">
        <x:v>ALG-22</x:v>
      </x:c>
      <x:c r="N103" s="4" t="str">
        <x:v>未执行</x:v>
      </x:c>
      <x:c r="O103" s="12" t="str"/>
    </x:row>
    <x:row r="104" ht="32" customHeight="1">
      <x:c r="A104" s="9" t="str">
        <x:v>PAR-0100</x:v>
      </x:c>
      <x:c r="B104" s="9" t="str">
        <x:v>模板</x:v>
      </x:c>
      <x:c r="C104" s="9" t="str">
        <x:v>22</x:v>
      </x:c>
      <x:c r="D104" s="9" t="str">
        <x:v>玩手机检测</x:v>
      </x:c>
      <x:c r="E104" s="9" t="str">
        <x:v>param.restrainTime</x:v>
      </x:c>
      <x:c r="F104" s="9" t="str">
        <x:v>静止目标去重时间(小时)</x:v>
      </x:c>
      <x:c r="G104" s="9" t="str">
        <x:v>bm1688,cv186x,x86</x:v>
      </x:c>
      <x:c r="H104" s="9" t="str">
        <x:v>6</x:v>
      </x:c>
      <x:c r="I104" s="9" t="str">
        <x:v>min=; max=; regex=/^([0-9]|[1][0-9]|[2][0-4])$/</x:v>
      </x:c>
      <x:c r="J104" s="9" t="str">
        <x:v>{"key":"param.restrainSwitch","value":"1"}</x:v>
      </x:c>
      <x:c r="K104" s="9" t="str">
        <x:v>静止目标去重时间，范围：1~24小时，默认：6小时。</x:v>
      </x:c>
      <x:c r="L104" s="9" t="str">
        <x:v>默认/合法替代/空/非法类型；按已确认范围测min、max及相邻越界；保存回读并验证行为</x:v>
      </x:c>
      <x:c r="M104" s="9" t="str">
        <x:v>ALG-22</x:v>
      </x:c>
      <x:c r="N104" s="9" t="str">
        <x:v>未执行</x:v>
      </x:c>
      <x:c r="O104" s="12" t="str"/>
    </x:row>
    <x:row r="105" ht="32" customHeight="1">
      <x:c r="A105" s="4" t="str">
        <x:v>PAR-0101</x:v>
      </x:c>
      <x:c r="B105" s="4" t="str">
        <x:v>模板</x:v>
      </x:c>
      <x:c r="C105" s="4" t="str">
        <x:v>22</x:v>
      </x:c>
      <x:c r="D105" s="4" t="str">
        <x:v>玩手机检测</x:v>
      </x:c>
      <x:c r="E105" s="4" t="str">
        <x:v>param.overlayTrajectory</x:v>
      </x:c>
      <x:c r="F105" s="4" t="str">
        <x:v>全景图叠加轨迹</x:v>
      </x:c>
      <x:c r="G105" s="4" t="str">
        <x:v>bm1688,cv186x,x86</x:v>
      </x:c>
      <x:c r="H105" s="4" t="str">
        <x:v>0</x:v>
      </x:c>
      <x:c r="I105" s="4" t="str">
        <x:v>min=; max=; regex=/^[01]$/</x:v>
      </x:c>
      <x:c r="J105" s="4" t="str"/>
      <x:c r="K105" s="4" t="str">
        <x:v>打开后会在全景图上叠加目标运动轨迹</x:v>
      </x:c>
      <x:c r="L105" s="4" t="str">
        <x:v>默认/合法替代/空/非法类型；按已确认范围测min、max及相邻越界；保存回读并验证行为</x:v>
      </x:c>
      <x:c r="M105" s="4" t="str">
        <x:v>ALG-22</x:v>
      </x:c>
      <x:c r="N105" s="4" t="str">
        <x:v>未执行</x:v>
      </x:c>
      <x:c r="O105" s="12" t="str"/>
    </x:row>
    <x:row r="106" ht="40" customHeight="1">
      <x:c r="A106" s="9" t="str">
        <x:v>PAR-0102</x:v>
      </x:c>
      <x:c r="B106" s="9" t="str">
        <x:v>模板</x:v>
      </x:c>
      <x:c r="C106" s="9" t="str">
        <x:v>22</x:v>
      </x:c>
      <x:c r="D106" s="9" t="str">
        <x:v>玩手机检测</x:v>
      </x:c>
      <x:c r="E106" s="9" t="str">
        <x:v>filter.pedestrian.side.min</x:v>
      </x:c>
      <x:c r="F106" s="9" t="str">
        <x:v>最小行人尺寸</x:v>
      </x:c>
      <x:c r="G106" s="9" t="str">
        <x:v>bm1688,cv186x,x86</x:v>
      </x:c>
      <x:c r="H106" s="9" t="str">
        <x:v>60</x:v>
      </x:c>
      <x:c r="I106" s="9" t="str">
        <x:v>min=; max=; regex=/^(0|[1-9]|[1-9][0-9]|[1-9][0-9][0-9]|[1-9][0-9][0-9][0-9]|10000)$/</x:v>
      </x:c>
      <x:c r="J106" s="9" t="str"/>
      <x:c r="K106" s="9" t="str">
        <x:v>最小行人尺寸：行人抓拍照片的最小图像尺寸。如输入值为100，则最小行人尺寸为100*100像素。范围：10px~1000像素 默认：100像素。</x:v>
      </x:c>
      <x:c r="L106" s="9" t="str">
        <x:v>默认/合法替代/空/非法类型；按已确认范围测min、max及相邻越界；保存回读并验证行为</x:v>
      </x:c>
      <x:c r="M106" s="9" t="str">
        <x:v>ALG-22</x:v>
      </x:c>
      <x:c r="N106" s="9" t="str">
        <x:v>未执行</x:v>
      </x:c>
      <x:c r="O106" s="12" t="str"/>
    </x:row>
    <x:row r="107" ht="32" customHeight="1">
      <x:c r="A107" s="4" t="str">
        <x:v>PAR-0103</x:v>
      </x:c>
      <x:c r="B107" s="4" t="str">
        <x:v>模板</x:v>
      </x:c>
      <x:c r="C107" s="4" t="str">
        <x:v>22</x:v>
      </x:c>
      <x:c r="D107" s="4" t="str">
        <x:v>玩手机检测</x:v>
      </x:c>
      <x:c r="E107" s="4" t="str">
        <x:v>param.sensitivity</x:v>
      </x:c>
      <x:c r="F107" s="4" t="str">
        <x:v>灵敏度</x:v>
      </x:c>
      <x:c r="G107" s="4" t="str">
        <x:v>bm1688,cv186x,x86</x:v>
      </x:c>
      <x:c r="H107" s="4" t="str">
        <x:v>5</x:v>
      </x:c>
      <x:c r="I107" s="4" t="str">
        <x:v>min=; max=; regex=/^([1-9]|10)$/</x:v>
      </x:c>
      <x:c r="J107" s="4" t="str"/>
      <x:c r="K107" s="4" t="str">
        <x:v>灵敏度：范围1-10，默认：5。值越大，越容易进行告警的触发。</x:v>
      </x:c>
      <x:c r="L107" s="4" t="str">
        <x:v>默认/合法替代/空/非法类型；按已确认范围测min、max及相邻越界；保存回读并验证行为</x:v>
      </x:c>
      <x:c r="M107" s="4" t="str">
        <x:v>ALG-22</x:v>
      </x:c>
      <x:c r="N107" s="4" t="str">
        <x:v>未执行</x:v>
      </x:c>
      <x:c r="O107" s="12" t="str"/>
    </x:row>
    <x:row r="108" ht="40" customHeight="1">
      <x:c r="A108" s="9" t="str">
        <x:v>PAR-0104</x:v>
      </x:c>
      <x:c r="B108" s="9" t="str">
        <x:v>模板</x:v>
      </x:c>
      <x:c r="C108" s="9" t="str">
        <x:v>22</x:v>
      </x:c>
      <x:c r="D108" s="9" t="str">
        <x:v>玩手机检测</x:v>
      </x:c>
      <x:c r="E108" s="9" t="str">
        <x:v>param.detectionDuration</x:v>
      </x:c>
      <x:c r="F108" s="9" t="str">
        <x:v>检测时间（秒）</x:v>
      </x:c>
      <x:c r="G108" s="9" t="str">
        <x:v>bm1688,cv186x,x86</x:v>
      </x:c>
      <x:c r="H108" s="9" t="str">
        <x:v>2</x:v>
      </x:c>
      <x:c r="I108" s="9" t="str">
        <x:v>min=; max=; regex=/^([1-9]|[1-9][0-9]|[1-9][0-9][0-9]|[1-2][0-9][0-9][0-9]|[3][0-5][0-9][0-9]|3600)$/</x:v>
      </x:c>
      <x:c r="J108" s="9" t="str"/>
      <x:c r="K108" s="9" t="str">
        <x:v>检测时间：范围：1-3600。默认2。</x:v>
      </x:c>
      <x:c r="L108" s="9" t="str">
        <x:v>默认/合法替代/空/非法类型；按已确认范围测min、max及相邻越界；保存回读并验证行为</x:v>
      </x:c>
      <x:c r="M108" s="9" t="str">
        <x:v>ALG-22</x:v>
      </x:c>
      <x:c r="N108" s="9" t="str">
        <x:v>未执行</x:v>
      </x:c>
      <x:c r="O108" s="12" t="str"/>
    </x:row>
    <x:row r="109" ht="32" customHeight="1">
      <x:c r="A109" s="4" t="str">
        <x:v>PAR-0105</x:v>
      </x:c>
      <x:c r="B109" s="4" t="str">
        <x:v>模板</x:v>
      </x:c>
      <x:c r="C109" s="4" t="str">
        <x:v>29</x:v>
      </x:c>
      <x:c r="D109" s="4" t="str">
        <x:v>车牌识别</x:v>
      </x:c>
      <x:c r="E109" s="4" t="str">
        <x:v>aiParam.car_plate.confidence</x:v>
      </x:c>
      <x:c r="F109" s="4" t="str">
        <x:v>车牌置信度</x:v>
      </x:c>
      <x:c r="G109" s="4" t="str">
        <x:v>bm1688,cv186x,x86</x:v>
      </x:c>
      <x:c r="H109" s="4" t="str"/>
      <x:c r="I109" s="4" t="str">
        <x:v>min=; max=; regex=</x:v>
      </x:c>
      <x:c r="J109" s="4" t="str"/>
      <x:c r="K109" s="4" t="str">
        <x:v>车牌置信度，范围：0.0~1.0，限小数点后3位。</x:v>
      </x:c>
      <x:c r="L109" s="4" t="str">
        <x:v>默认/合法替代/空/非法类型；按已确认范围测min、max及相邻越界；保存回读并验证行为</x:v>
      </x:c>
      <x:c r="M109" s="4" t="str">
        <x:v>ALG-29</x:v>
      </x:c>
      <x:c r="N109" s="4" t="str">
        <x:v>未执行</x:v>
      </x:c>
      <x:c r="O109" s="12" t="str"/>
    </x:row>
    <x:row r="110" ht="40" customHeight="1">
      <x:c r="A110" s="9" t="str">
        <x:v>PAR-0106</x:v>
      </x:c>
      <x:c r="B110" s="9" t="str">
        <x:v>模板</x:v>
      </x:c>
      <x:c r="C110" s="9" t="str">
        <x:v>29</x:v>
      </x:c>
      <x:c r="D110" s="9" t="str">
        <x:v>车牌识别</x:v>
      </x:c>
      <x:c r="E110" s="9" t="str">
        <x:v>param.alarmInterval</x:v>
      </x:c>
      <x:c r="F110" s="9" t="str">
        <x:v>告警时间间隔（秒）</x:v>
      </x:c>
      <x:c r="G110" s="9" t="str">
        <x:v>bm1688,cv186x,x86</x:v>
      </x:c>
      <x:c r="H110" s="9" t="str">
        <x:v>3</x:v>
      </x:c>
      <x:c r="I110" s="9" t="str">
        <x:v>min=; max=; regex=/^([1-9]|[1-9][0-9]|[1-9][0-9][0-9]|[1-9][0-9][0-9][0-9]|[1-2][0-9][0-9][0-9][0-9]|[3][0-5][0-9][0-9][0-9]|36000)$/</x:v>
      </x:c>
      <x:c r="J110" s="9" t="str"/>
      <x:c r="K110" s="9" t="str">
        <x:v>两次车牌告警的最小间隔，范围：1~36000秒。</x:v>
      </x:c>
      <x:c r="L110" s="9" t="str">
        <x:v>默认/合法替代/空/非法类型；按已确认范围测min、max及相邻越界；保存回读并验证行为</x:v>
      </x:c>
      <x:c r="M110" s="9" t="str">
        <x:v>ALG-29</x:v>
      </x:c>
      <x:c r="N110" s="9" t="str">
        <x:v>未执行</x:v>
      </x:c>
      <x:c r="O110" s="12" t="str"/>
    </x:row>
    <x:row r="111" ht="32" customHeight="1">
      <x:c r="A111" s="4" t="str">
        <x:v>PAR-0107</x:v>
      </x:c>
      <x:c r="B111" s="4" t="str">
        <x:v>模板</x:v>
      </x:c>
      <x:c r="C111" s="4" t="str">
        <x:v>2</x:v>
      </x:c>
      <x:c r="D111" s="4" t="str">
        <x:v>人脸比对</x:v>
      </x:c>
      <x:c r="E111" s="4" t="str">
        <x:v>aiParam.face.confidence</x:v>
      </x:c>
      <x:c r="F111" s="4" t="str">
        <x:v>face置信度</x:v>
      </x:c>
      <x:c r="G111" s="4" t="str">
        <x:v>bm1688,cv186x,x86</x:v>
      </x:c>
      <x:c r="H111" s="4" t="str"/>
      <x:c r="I111" s="4" t="str">
        <x:v>min=; max=; regex=</x:v>
      </x:c>
      <x:c r="J111" s="4" t="str"/>
      <x:c r="K111" s="4" t="str">
        <x:v>face置信度，范围：0.0~1.0，限小数点后3位。</x:v>
      </x:c>
      <x:c r="L111" s="4" t="str">
        <x:v>默认/合法替代/空/非法类型；按已确认范围测min、max及相邻越界；保存回读并验证行为</x:v>
      </x:c>
      <x:c r="M111" s="4" t="str">
        <x:v>ALG-2</x:v>
      </x:c>
      <x:c r="N111" s="4" t="str">
        <x:v>未执行</x:v>
      </x:c>
      <x:c r="O111" s="12" t="str"/>
    </x:row>
    <x:row r="112" ht="32" customHeight="1">
      <x:c r="A112" s="9" t="str">
        <x:v>PAR-0108</x:v>
      </x:c>
      <x:c r="B112" s="9" t="str">
        <x:v>模板</x:v>
      </x:c>
      <x:c r="C112" s="9" t="str">
        <x:v>2</x:v>
      </x:c>
      <x:c r="D112" s="9" t="str">
        <x:v>人脸比对</x:v>
      </x:c>
      <x:c r="E112" s="9" t="str">
        <x:v>aiParam.face.confidenceConfig</x:v>
      </x:c>
      <x:c r="F112" s="9" t="str">
        <x:v>face置信度偏移</x:v>
      </x:c>
      <x:c r="G112" s="9" t="str">
        <x:v>bm1688,cv186x,x86</x:v>
      </x:c>
      <x:c r="H112" s="9" t="str">
        <x:v>0,0</x:v>
      </x:c>
      <x:c r="I112" s="9" t="str">
        <x:v>min=; max=; regex=</x:v>
      </x:c>
      <x:c r="J112" s="9" t="str"/>
      <x:c r="K112" s="9" t="str">
        <x:v>face置信度偏移，默认为严格阈值。可选严格阈值、推荐阈值。</x:v>
      </x:c>
      <x:c r="L112" s="9" t="str">
        <x:v>默认/合法替代/空/非法类型；按已确认范围测min、max及相邻越界；保存回读并验证行为</x:v>
      </x:c>
      <x:c r="M112" s="9" t="str">
        <x:v>ALG-2</x:v>
      </x:c>
      <x:c r="N112" s="9" t="str">
        <x:v>未执行</x:v>
      </x:c>
      <x:c r="O112" s="12" t="str"/>
    </x:row>
    <x:row r="113" ht="32" customHeight="1">
      <x:c r="A113" s="4" t="str">
        <x:v>PAR-0109</x:v>
      </x:c>
      <x:c r="B113" s="4" t="str">
        <x:v>模板</x:v>
      </x:c>
      <x:c r="C113" s="4" t="str">
        <x:v>2</x:v>
      </x:c>
      <x:c r="D113" s="4" t="str">
        <x:v>人脸比对</x:v>
      </x:c>
      <x:c r="E113" s="4" t="str">
        <x:v>aiParam.face.detPostion</x:v>
      </x:c>
      <x:c r="F113" s="4" t="str">
        <x:v>face检测方式</x:v>
      </x:c>
      <x:c r="G113" s="4" t="str">
        <x:v>bm1688,cv186x,x86</x:v>
      </x:c>
      <x:c r="H113" s="4" t="str">
        <x:v>0</x:v>
      </x:c>
      <x:c r="I113" s="4" t="str">
        <x:v>枚举：0,1,2</x:v>
      </x:c>
      <x:c r="J113" s="4" t="str"/>
      <x:c r="K113" s="4" t="str">
        <x:v>检测方式：定义检测框中心点的位置。默认在底部。可选顶部、底部、中心。</x:v>
      </x:c>
      <x:c r="L113" s="4" t="str">
        <x:v>依次选每个枚举；非法值；保存刷新；触发依赖字段</x:v>
      </x:c>
      <x:c r="M113" s="4" t="str">
        <x:v>ALG-2</x:v>
      </x:c>
      <x:c r="N113" s="4" t="str">
        <x:v>未执行</x:v>
      </x:c>
      <x:c r="O113" s="12" t="str"/>
    </x:row>
    <x:row r="114" ht="32" customHeight="1">
      <x:c r="A114" s="9" t="str">
        <x:v>PAR-0110</x:v>
      </x:c>
      <x:c r="B114" s="9" t="str">
        <x:v>模板</x:v>
      </x:c>
      <x:c r="C114" s="9" t="str">
        <x:v>2</x:v>
      </x:c>
      <x:c r="D114" s="9" t="str">
        <x:v>人脸比对</x:v>
      </x:c>
      <x:c r="E114" s="9" t="str">
        <x:v>aiParam.1000001.trackDynamicMatch</x:v>
      </x:c>
      <x:c r="F114" s="9" t="str">
        <x:v>FaceRGBDetection追踪半径</x:v>
      </x:c>
      <x:c r="G114" s="9" t="str">
        <x:v>bm1688,cv186x,x86</x:v>
      </x:c>
      <x:c r="H114" s="9" t="str">
        <x:v>2.3</x:v>
      </x:c>
      <x:c r="I114" s="9" t="str">
        <x:v>min=; max=; regex=</x:v>
      </x:c>
      <x:c r="J114" s="9" t="str"/>
      <x:c r="K114" s="9" t="str">
        <x:v>追踪半径，跟追踪帧数也有关系。范围：0~100，例如：2.3</x:v>
      </x:c>
      <x:c r="L114" s="9" t="str">
        <x:v>默认/合法替代/空/非法类型；按已确认范围测min、max及相邻越界；保存回读并验证行为</x:v>
      </x:c>
      <x:c r="M114" s="9" t="str">
        <x:v>ALG-2</x:v>
      </x:c>
      <x:c r="N114" s="9" t="str">
        <x:v>未执行</x:v>
      </x:c>
      <x:c r="O114" s="12" t="str"/>
    </x:row>
    <x:row r="115" ht="32" customHeight="1">
      <x:c r="A115" s="4" t="str">
        <x:v>PAR-0111</x:v>
      </x:c>
      <x:c r="B115" s="4" t="str">
        <x:v>模板</x:v>
      </x:c>
      <x:c r="C115" s="4" t="str">
        <x:v>2</x:v>
      </x:c>
      <x:c r="D115" s="4" t="str">
        <x:v>人脸比对</x:v>
      </x:c>
      <x:c r="E115" s="4" t="str">
        <x:v>aiParam.slantedFace.confidence</x:v>
      </x:c>
      <x:c r="F115" s="4" t="str">
        <x:v>slantedFace置信度</x:v>
      </x:c>
      <x:c r="G115" s="4" t="str">
        <x:v>bm1688,cv186x,x86</x:v>
      </x:c>
      <x:c r="H115" s="4" t="str"/>
      <x:c r="I115" s="4" t="str">
        <x:v>min=; max=; regex=</x:v>
      </x:c>
      <x:c r="J115" s="4" t="str"/>
      <x:c r="K115" s="4" t="str">
        <x:v>slantedFace置信度，范围：0.0~1.0，限小数点后3位。</x:v>
      </x:c>
      <x:c r="L115" s="4" t="str">
        <x:v>默认/合法替代/空/非法类型；按已确认范围测min、max及相邻越界；保存回读并验证行为</x:v>
      </x:c>
      <x:c r="M115" s="4" t="str">
        <x:v>ALG-2</x:v>
      </x:c>
      <x:c r="N115" s="4" t="str">
        <x:v>未执行</x:v>
      </x:c>
      <x:c r="O115" s="12" t="str"/>
    </x:row>
    <x:row r="116" ht="32" customHeight="1">
      <x:c r="A116" s="9" t="str">
        <x:v>PAR-0112</x:v>
      </x:c>
      <x:c r="B116" s="9" t="str">
        <x:v>模板</x:v>
      </x:c>
      <x:c r="C116" s="9" t="str">
        <x:v>2</x:v>
      </x:c>
      <x:c r="D116" s="9" t="str">
        <x:v>人脸比对</x:v>
      </x:c>
      <x:c r="E116" s="9" t="str">
        <x:v>aiParam.slantedFace.confidenceConfig</x:v>
      </x:c>
      <x:c r="F116" s="9" t="str">
        <x:v>slantedFace置信度偏移</x:v>
      </x:c>
      <x:c r="G116" s="9" t="str">
        <x:v>bm1688,cv186x,x86</x:v>
      </x:c>
      <x:c r="H116" s="9" t="str">
        <x:v>0,0</x:v>
      </x:c>
      <x:c r="I116" s="9" t="str">
        <x:v>min=; max=; regex=</x:v>
      </x:c>
      <x:c r="J116" s="9" t="str"/>
      <x:c r="K116" s="9" t="str">
        <x:v>slantedFace置信度偏移，默认为严格阈值。可选严格阈值、推荐阈值。</x:v>
      </x:c>
      <x:c r="L116" s="9" t="str">
        <x:v>默认/合法替代/空/非法类型；按已确认范围测min、max及相邻越界；保存回读并验证行为</x:v>
      </x:c>
      <x:c r="M116" s="9" t="str">
        <x:v>ALG-2</x:v>
      </x:c>
      <x:c r="N116" s="9" t="str">
        <x:v>未执行</x:v>
      </x:c>
      <x:c r="O116" s="12" t="str"/>
    </x:row>
    <x:row r="117" ht="32" customHeight="1">
      <x:c r="A117" s="4" t="str">
        <x:v>PAR-0113</x:v>
      </x:c>
      <x:c r="B117" s="4" t="str">
        <x:v>模板</x:v>
      </x:c>
      <x:c r="C117" s="4" t="str">
        <x:v>2</x:v>
      </x:c>
      <x:c r="D117" s="4" t="str">
        <x:v>人脸比对</x:v>
      </x:c>
      <x:c r="E117" s="4" t="str">
        <x:v>aiParam.frontFace.confidence</x:v>
      </x:c>
      <x:c r="F117" s="4" t="str">
        <x:v>frontFace置信度</x:v>
      </x:c>
      <x:c r="G117" s="4" t="str">
        <x:v>bm1688,cv186x,x86</x:v>
      </x:c>
      <x:c r="H117" s="4" t="str"/>
      <x:c r="I117" s="4" t="str">
        <x:v>min=; max=; regex=</x:v>
      </x:c>
      <x:c r="J117" s="4" t="str"/>
      <x:c r="K117" s="4" t="str">
        <x:v>frontFace置信度，范围：0.0~1.0，限小数点后3位。</x:v>
      </x:c>
      <x:c r="L117" s="4" t="str">
        <x:v>默认/合法替代/空/非法类型；按已确认范围测min、max及相邻越界；保存回读并验证行为</x:v>
      </x:c>
      <x:c r="M117" s="4" t="str">
        <x:v>ALG-2</x:v>
      </x:c>
      <x:c r="N117" s="4" t="str">
        <x:v>未执行</x:v>
      </x:c>
      <x:c r="O117" s="12" t="str"/>
    </x:row>
    <x:row r="118" ht="32" customHeight="1">
      <x:c r="A118" s="9" t="str">
        <x:v>PAR-0114</x:v>
      </x:c>
      <x:c r="B118" s="9" t="str">
        <x:v>模板</x:v>
      </x:c>
      <x:c r="C118" s="9" t="str">
        <x:v>2</x:v>
      </x:c>
      <x:c r="D118" s="9" t="str">
        <x:v>人脸比对</x:v>
      </x:c>
      <x:c r="E118" s="9" t="str">
        <x:v>aiParam.frontFace.confidenceConfig</x:v>
      </x:c>
      <x:c r="F118" s="9" t="str">
        <x:v>frontFace置信度偏移</x:v>
      </x:c>
      <x:c r="G118" s="9" t="str">
        <x:v>bm1688,cv186x,x86</x:v>
      </x:c>
      <x:c r="H118" s="9" t="str">
        <x:v>0,0</x:v>
      </x:c>
      <x:c r="I118" s="9" t="str">
        <x:v>min=; max=; regex=</x:v>
      </x:c>
      <x:c r="J118" s="9" t="str"/>
      <x:c r="K118" s="9" t="str">
        <x:v>frontFace置信度偏移，默认为严格阈值。可选严格阈值、推荐阈值。</x:v>
      </x:c>
      <x:c r="L118" s="9" t="str">
        <x:v>默认/合法替代/空/非法类型；按已确认范围测min、max及相邻越界；保存回读并验证行为</x:v>
      </x:c>
      <x:c r="M118" s="9" t="str">
        <x:v>ALG-2</x:v>
      </x:c>
      <x:c r="N118" s="9" t="str">
        <x:v>未执行</x:v>
      </x:c>
      <x:c r="O118" s="12" t="str"/>
    </x:row>
    <x:row r="119" ht="32" customHeight="1">
      <x:c r="A119" s="4" t="str">
        <x:v>PAR-0115</x:v>
      </x:c>
      <x:c r="B119" s="4" t="str">
        <x:v>模板</x:v>
      </x:c>
      <x:c r="C119" s="4" t="str">
        <x:v>2</x:v>
      </x:c>
      <x:c r="D119" s="4" t="str">
        <x:v>人脸比对</x:v>
      </x:c>
      <x:c r="E119" s="4" t="str">
        <x:v>aiParam.fullFace.confidence</x:v>
      </x:c>
      <x:c r="F119" s="4" t="str">
        <x:v>fullFace置信度</x:v>
      </x:c>
      <x:c r="G119" s="4" t="str">
        <x:v>bm1688,cv186x,x86</x:v>
      </x:c>
      <x:c r="H119" s="4" t="str"/>
      <x:c r="I119" s="4" t="str">
        <x:v>min=; max=; regex=</x:v>
      </x:c>
      <x:c r="J119" s="4" t="str"/>
      <x:c r="K119" s="4" t="str">
        <x:v>fullFace置信度，范围：0.0~1.0，限小数点后3位。</x:v>
      </x:c>
      <x:c r="L119" s="4" t="str">
        <x:v>默认/合法替代/空/非法类型；按已确认范围测min、max及相邻越界；保存回读并验证行为</x:v>
      </x:c>
      <x:c r="M119" s="4" t="str">
        <x:v>ALG-2</x:v>
      </x:c>
      <x:c r="N119" s="4" t="str">
        <x:v>未执行</x:v>
      </x:c>
      <x:c r="O119" s="12" t="str"/>
    </x:row>
    <x:row r="120" ht="32" customHeight="1">
      <x:c r="A120" s="9" t="str">
        <x:v>PAR-0116</x:v>
      </x:c>
      <x:c r="B120" s="9" t="str">
        <x:v>模板</x:v>
      </x:c>
      <x:c r="C120" s="9" t="str">
        <x:v>2</x:v>
      </x:c>
      <x:c r="D120" s="9" t="str">
        <x:v>人脸比对</x:v>
      </x:c>
      <x:c r="E120" s="9" t="str">
        <x:v>aiParam.fullFace.confidenceConfig</x:v>
      </x:c>
      <x:c r="F120" s="9" t="str">
        <x:v>fullFace置信度偏移</x:v>
      </x:c>
      <x:c r="G120" s="9" t="str">
        <x:v>bm1688,cv186x,x86</x:v>
      </x:c>
      <x:c r="H120" s="9" t="str">
        <x:v>0,0</x:v>
      </x:c>
      <x:c r="I120" s="9" t="str">
        <x:v>min=; max=; regex=</x:v>
      </x:c>
      <x:c r="J120" s="9" t="str"/>
      <x:c r="K120" s="9" t="str">
        <x:v>fullFace置信度偏移，默认为严格阈值。可选严格阈值、推荐阈值。</x:v>
      </x:c>
      <x:c r="L120" s="9" t="str">
        <x:v>默认/合法替代/空/非法类型；按已确认范围测min、max及相邻越界；保存回读并验证行为</x:v>
      </x:c>
      <x:c r="M120" s="9" t="str">
        <x:v>ALG-2</x:v>
      </x:c>
      <x:c r="N120" s="9" t="str">
        <x:v>未执行</x:v>
      </x:c>
      <x:c r="O120" s="12" t="str"/>
    </x:row>
    <x:row r="121" ht="32" customHeight="1">
      <x:c r="A121" s="4" t="str">
        <x:v>PAR-0117</x:v>
      </x:c>
      <x:c r="B121" s="4" t="str">
        <x:v>模板</x:v>
      </x:c>
      <x:c r="C121" s="4" t="str">
        <x:v>2</x:v>
      </x:c>
      <x:c r="D121" s="4" t="str">
        <x:v>人脸比对</x:v>
      </x:c>
      <x:c r="E121" s="4" t="str">
        <x:v>aiParam.faceBlur0.confidence</x:v>
      </x:c>
      <x:c r="F121" s="4" t="str">
        <x:v>faceBlur0置信度</x:v>
      </x:c>
      <x:c r="G121" s="4" t="str">
        <x:v>bm1688,cv186x,x86</x:v>
      </x:c>
      <x:c r="H121" s="4" t="str"/>
      <x:c r="I121" s="4" t="str">
        <x:v>min=; max=; regex=</x:v>
      </x:c>
      <x:c r="J121" s="4" t="str"/>
      <x:c r="K121" s="4" t="str">
        <x:v>faceBlur0置信度，范围：0.0~1.0，限小数点后3位。</x:v>
      </x:c>
      <x:c r="L121" s="4" t="str">
        <x:v>默认/合法替代/空/非法类型；按已确认范围测min、max及相邻越界；保存回读并验证行为</x:v>
      </x:c>
      <x:c r="M121" s="4" t="str">
        <x:v>ALG-2</x:v>
      </x:c>
      <x:c r="N121" s="4" t="str">
        <x:v>未执行</x:v>
      </x:c>
      <x:c r="O121" s="12" t="str"/>
    </x:row>
    <x:row r="122" ht="32" customHeight="1">
      <x:c r="A122" s="9" t="str">
        <x:v>PAR-0118</x:v>
      </x:c>
      <x:c r="B122" s="9" t="str">
        <x:v>模板</x:v>
      </x:c>
      <x:c r="C122" s="9" t="str">
        <x:v>2</x:v>
      </x:c>
      <x:c r="D122" s="9" t="str">
        <x:v>人脸比对</x:v>
      </x:c>
      <x:c r="E122" s="9" t="str">
        <x:v>aiParam.faceBlur0.confidenceConfig</x:v>
      </x:c>
      <x:c r="F122" s="9" t="str">
        <x:v>faceBlur0置信度偏移</x:v>
      </x:c>
      <x:c r="G122" s="9" t="str">
        <x:v>bm1688,cv186x,x86</x:v>
      </x:c>
      <x:c r="H122" s="9" t="str">
        <x:v>0,0</x:v>
      </x:c>
      <x:c r="I122" s="9" t="str">
        <x:v>min=; max=; regex=</x:v>
      </x:c>
      <x:c r="J122" s="9" t="str"/>
      <x:c r="K122" s="9" t="str">
        <x:v>faceBlur0置信度偏移，默认为严格阈值。可选严格阈值、推荐阈值。</x:v>
      </x:c>
      <x:c r="L122" s="9" t="str">
        <x:v>默认/合法替代/空/非法类型；按已确认范围测min、max及相邻越界；保存回读并验证行为</x:v>
      </x:c>
      <x:c r="M122" s="9" t="str">
        <x:v>ALG-2</x:v>
      </x:c>
      <x:c r="N122" s="9" t="str">
        <x:v>未执行</x:v>
      </x:c>
      <x:c r="O122" s="12" t="str"/>
    </x:row>
    <x:row r="123" ht="32" customHeight="1">
      <x:c r="A123" s="4" t="str">
        <x:v>PAR-0119</x:v>
      </x:c>
      <x:c r="B123" s="4" t="str">
        <x:v>模板</x:v>
      </x:c>
      <x:c r="C123" s="4" t="str">
        <x:v>2</x:v>
      </x:c>
      <x:c r="D123" s="4" t="str">
        <x:v>人脸比对</x:v>
      </x:c>
      <x:c r="E123" s="4" t="str">
        <x:v>aiParam.faceBlur1.confidence</x:v>
      </x:c>
      <x:c r="F123" s="4" t="str">
        <x:v>faceBlur1置信度</x:v>
      </x:c>
      <x:c r="G123" s="4" t="str">
        <x:v>bm1688,cv186x,x86</x:v>
      </x:c>
      <x:c r="H123" s="4" t="str"/>
      <x:c r="I123" s="4" t="str">
        <x:v>min=; max=; regex=</x:v>
      </x:c>
      <x:c r="J123" s="4" t="str"/>
      <x:c r="K123" s="4" t="str">
        <x:v>faceBlur1置信度，范围：0.0~1.0，限小数点后3位。</x:v>
      </x:c>
      <x:c r="L123" s="4" t="str">
        <x:v>默认/合法替代/空/非法类型；按已确认范围测min、max及相邻越界；保存回读并验证行为</x:v>
      </x:c>
      <x:c r="M123" s="4" t="str">
        <x:v>ALG-2</x:v>
      </x:c>
      <x:c r="N123" s="4" t="str">
        <x:v>未执行</x:v>
      </x:c>
      <x:c r="O123" s="12" t="str"/>
    </x:row>
    <x:row r="124" ht="32" customHeight="1">
      <x:c r="A124" s="9" t="str">
        <x:v>PAR-0120</x:v>
      </x:c>
      <x:c r="B124" s="9" t="str">
        <x:v>模板</x:v>
      </x:c>
      <x:c r="C124" s="9" t="str">
        <x:v>2</x:v>
      </x:c>
      <x:c r="D124" s="9" t="str">
        <x:v>人脸比对</x:v>
      </x:c>
      <x:c r="E124" s="9" t="str">
        <x:v>aiParam.faceBlur1.confidenceConfig</x:v>
      </x:c>
      <x:c r="F124" s="9" t="str">
        <x:v>faceBlur1置信度偏移</x:v>
      </x:c>
      <x:c r="G124" s="9" t="str">
        <x:v>bm1688,cv186x,x86</x:v>
      </x:c>
      <x:c r="H124" s="9" t="str">
        <x:v>0,0</x:v>
      </x:c>
      <x:c r="I124" s="9" t="str">
        <x:v>min=; max=; regex=</x:v>
      </x:c>
      <x:c r="J124" s="9" t="str"/>
      <x:c r="K124" s="9" t="str">
        <x:v>faceBlur1置信度偏移，默认为严格阈值。可选严格阈值、推荐阈值。</x:v>
      </x:c>
      <x:c r="L124" s="9" t="str">
        <x:v>默认/合法替代/空/非法类型；按已确认范围测min、max及相邻越界；保存回读并验证行为</x:v>
      </x:c>
      <x:c r="M124" s="9" t="str">
        <x:v>ALG-2</x:v>
      </x:c>
      <x:c r="N124" s="9" t="str">
        <x:v>未执行</x:v>
      </x:c>
      <x:c r="O124" s="12" t="str"/>
    </x:row>
    <x:row r="125" ht="32" customHeight="1">
      <x:c r="A125" s="4" t="str">
        <x:v>PAR-0121</x:v>
      </x:c>
      <x:c r="B125" s="4" t="str">
        <x:v>模板</x:v>
      </x:c>
      <x:c r="C125" s="4" t="str">
        <x:v>2</x:v>
      </x:c>
      <x:c r="D125" s="4" t="str">
        <x:v>人脸比对</x:v>
      </x:c>
      <x:c r="E125" s="4" t="str">
        <x:v>aiParam.faceBlur2.confidence</x:v>
      </x:c>
      <x:c r="F125" s="4" t="str">
        <x:v>faceBlur2置信度</x:v>
      </x:c>
      <x:c r="G125" s="4" t="str">
        <x:v>bm1688,cv186x,x86</x:v>
      </x:c>
      <x:c r="H125" s="4" t="str"/>
      <x:c r="I125" s="4" t="str">
        <x:v>min=; max=; regex=</x:v>
      </x:c>
      <x:c r="J125" s="4" t="str"/>
      <x:c r="K125" s="4" t="str">
        <x:v>faceBlur2置信度，范围：0.0~1.0，限小数点后3位。</x:v>
      </x:c>
      <x:c r="L125" s="4" t="str">
        <x:v>默认/合法替代/空/非法类型；按已确认范围测min、max及相邻越界；保存回读并验证行为</x:v>
      </x:c>
      <x:c r="M125" s="4" t="str">
        <x:v>ALG-2</x:v>
      </x:c>
      <x:c r="N125" s="4" t="str">
        <x:v>未执行</x:v>
      </x:c>
      <x:c r="O125" s="12" t="str"/>
    </x:row>
    <x:row r="126" ht="32" customHeight="1">
      <x:c r="A126" s="9" t="str">
        <x:v>PAR-0122</x:v>
      </x:c>
      <x:c r="B126" s="9" t="str">
        <x:v>模板</x:v>
      </x:c>
      <x:c r="C126" s="9" t="str">
        <x:v>2</x:v>
      </x:c>
      <x:c r="D126" s="9" t="str">
        <x:v>人脸比对</x:v>
      </x:c>
      <x:c r="E126" s="9" t="str">
        <x:v>aiParam.faceBlur2.confidenceConfig</x:v>
      </x:c>
      <x:c r="F126" s="9" t="str">
        <x:v>faceBlur2置信度偏移</x:v>
      </x:c>
      <x:c r="G126" s="9" t="str">
        <x:v>bm1688,cv186x,x86</x:v>
      </x:c>
      <x:c r="H126" s="9" t="str">
        <x:v>0,0</x:v>
      </x:c>
      <x:c r="I126" s="9" t="str">
        <x:v>min=; max=; regex=</x:v>
      </x:c>
      <x:c r="J126" s="9" t="str"/>
      <x:c r="K126" s="9" t="str">
        <x:v>faceBlur2置信度偏移，默认为严格阈值。可选严格阈值、推荐阈值。</x:v>
      </x:c>
      <x:c r="L126" s="9" t="str">
        <x:v>默认/合法替代/空/非法类型；按已确认范围测min、max及相邻越界；保存回读并验证行为</x:v>
      </x:c>
      <x:c r="M126" s="9" t="str">
        <x:v>ALG-2</x:v>
      </x:c>
      <x:c r="N126" s="9" t="str">
        <x:v>未执行</x:v>
      </x:c>
      <x:c r="O126" s="12" t="str"/>
    </x:row>
    <x:row r="127" ht="32" customHeight="1">
      <x:c r="A127" s="4" t="str">
        <x:v>PAR-0123</x:v>
      </x:c>
      <x:c r="B127" s="4" t="str">
        <x:v>模板</x:v>
      </x:c>
      <x:c r="C127" s="4" t="str">
        <x:v>2</x:v>
      </x:c>
      <x:c r="D127" s="4" t="str">
        <x:v>人脸比对</x:v>
      </x:c>
      <x:c r="E127" s="4" t="str">
        <x:v>param.faceSet</x:v>
      </x:c>
      <x:c r="F127" s="4" t="str">
        <x:v>绑定人脸分组</x:v>
      </x:c>
      <x:c r="G127" s="4" t="str">
        <x:v>bm1688,cv186x,x86</x:v>
      </x:c>
      <x:c r="H127" s="4" t="str"/>
      <x:c r="I127" s="4" t="str">
        <x:v>min=; max=; regex=</x:v>
      </x:c>
      <x:c r="J127" s="4" t="str"/>
      <x:c r="K127" s="4" t="str">
        <x:v>选择需要比对的脸库分组</x:v>
      </x:c>
      <x:c r="L127" s="4" t="str">
        <x:v>默认/合法替代/空/非法类型；按已确认范围测min、max及相邻越界；保存回读并验证行为</x:v>
      </x:c>
      <x:c r="M127" s="4" t="str">
        <x:v>ALG-2</x:v>
      </x:c>
      <x:c r="N127" s="4" t="str">
        <x:v>未执行</x:v>
      </x:c>
      <x:c r="O127" s="12" t="str"/>
    </x:row>
    <x:row r="128" ht="40" customHeight="1">
      <x:c r="A128" s="9" t="str">
        <x:v>PAR-0124</x:v>
      </x:c>
      <x:c r="B128" s="9" t="str">
        <x:v>模板</x:v>
      </x:c>
      <x:c r="C128" s="9" t="str">
        <x:v>2</x:v>
      </x:c>
      <x:c r="D128" s="9" t="str">
        <x:v>人脸比对</x:v>
      </x:c>
      <x:c r="E128" s="9" t="str">
        <x:v>param.targetAlarmInterval</x:v>
      </x:c>
      <x:c r="F128" s="9" t="str">
        <x:v>告警时间间隔（秒）</x:v>
      </x:c>
      <x:c r="G128" s="9" t="str">
        <x:v>bm1688,cv186x,x86</x:v>
      </x:c>
      <x:c r="H128" s="9" t="str">
        <x:v>3</x:v>
      </x:c>
      <x:c r="I128" s="9" t="str">
        <x:v>min=; max=; regex=/^([1-9]|[1-9][0-9]|[1-9][0-9][0-9]|[1-9][0-9][0-9][0-9]|[1-2][0-9][0-9][0-9][0-9]|[3][0-5][0-9][0-9][0-9]|36000)$/</x:v>
      </x:c>
      <x:c r="J128" s="9" t="str"/>
      <x:c r="K128" s="9" t="str">
        <x:v>告警时间间隔：2次告警事件的间隔。范围：1~36000秒，默认：3秒。</x:v>
      </x:c>
      <x:c r="L128" s="9" t="str">
        <x:v>默认/合法替代/空/非法类型；按已确认范围测min、max及相邻越界；保存回读并验证行为</x:v>
      </x:c>
      <x:c r="M128" s="9" t="str">
        <x:v>ALG-2</x:v>
      </x:c>
      <x:c r="N128" s="9" t="str">
        <x:v>未执行</x:v>
      </x:c>
      <x:c r="O128" s="12" t="str"/>
    </x:row>
    <x:row r="129" ht="32" customHeight="1">
      <x:c r="A129" s="4" t="str">
        <x:v>PAR-0125</x:v>
      </x:c>
      <x:c r="B129" s="4" t="str">
        <x:v>模板</x:v>
      </x:c>
      <x:c r="C129" s="4" t="str">
        <x:v>2</x:v>
      </x:c>
      <x:c r="D129" s="4" t="str">
        <x:v>人脸比对</x:v>
      </x:c>
      <x:c r="E129" s="4" t="str">
        <x:v>param.targetAlarmCount</x:v>
      </x:c>
      <x:c r="F129" s="4" t="str">
        <x:v>告警次数</x:v>
      </x:c>
      <x:c r="G129" s="4" t="str">
        <x:v>bm1688,cv186x,x86</x:v>
      </x:c>
      <x:c r="H129" s="4" t="str">
        <x:v>1</x:v>
      </x:c>
      <x:c r="I129" s="4" t="str">
        <x:v>min=; max=; regex=/^(0|[1-9]|[1-9][0-9]|100)$/</x:v>
      </x:c>
      <x:c r="J129" s="4" t="str"/>
      <x:c r="K129" s="4" t="str">
        <x:v>告警次数：范围：0-100，默认为1。0表示不限次数。</x:v>
      </x:c>
      <x:c r="L129" s="4" t="str">
        <x:v>默认/合法替代/空/非法类型；按已确认范围测min、max及相邻越界；保存回读并验证行为</x:v>
      </x:c>
      <x:c r="M129" s="4" t="str">
        <x:v>ALG-2</x:v>
      </x:c>
      <x:c r="N129" s="4" t="str">
        <x:v>未执行</x:v>
      </x:c>
      <x:c r="O129" s="12" t="str"/>
    </x:row>
    <x:row r="130" ht="40" customHeight="1">
      <x:c r="A130" s="9" t="str">
        <x:v>PAR-0126</x:v>
      </x:c>
      <x:c r="B130" s="9" t="str">
        <x:v>模板</x:v>
      </x:c>
      <x:c r="C130" s="9" t="str">
        <x:v>2</x:v>
      </x:c>
      <x:c r="D130" s="9" t="str">
        <x:v>人脸比对</x:v>
      </x:c>
      <x:c r="E130" s="9" t="str">
        <x:v>param.restrainSwitch</x:v>
      </x:c>
      <x:c r="F130" s="9" t="str">
        <x:v>静止目标去重</x:v>
      </x:c>
      <x:c r="G130" s="9" t="str">
        <x:v>bm1688,cv186x,x86</x:v>
      </x:c>
      <x:c r="H130" s="9" t="str">
        <x:v>0</x:v>
      </x:c>
      <x:c r="I130" s="9" t="str">
        <x:v>min=; max=; regex=/^[01]$/</x:v>
      </x:c>
      <x:c r="J130" s="9" t="str"/>
      <x:c r="K130" s="9" t="str">
        <x:v>静止目标去重：对于告警目标，开启此功能后，将进行目标静止状态检测，如判定为静止目标，则不会重复报警。</x:v>
      </x:c>
      <x:c r="L130" s="9" t="str">
        <x:v>默认/合法替代/空/非法类型；按已确认范围测min、max及相邻越界；保存回读并验证行为</x:v>
      </x:c>
      <x:c r="M130" s="9" t="str">
        <x:v>ALG-2</x:v>
      </x:c>
      <x:c r="N130" s="9" t="str">
        <x:v>未执行</x:v>
      </x:c>
      <x:c r="O130" s="12" t="str"/>
    </x:row>
    <x:row r="131" ht="32" customHeight="1">
      <x:c r="A131" s="4" t="str">
        <x:v>PAR-0127</x:v>
      </x:c>
      <x:c r="B131" s="4" t="str">
        <x:v>模板</x:v>
      </x:c>
      <x:c r="C131" s="4" t="str">
        <x:v>2</x:v>
      </x:c>
      <x:c r="D131" s="4" t="str">
        <x:v>人脸比对</x:v>
      </x:c>
      <x:c r="E131" s="4" t="str">
        <x:v>param.overlapRate</x:v>
      </x:c>
      <x:c r="F131" s="4" t="str">
        <x:v>静止目标重叠率</x:v>
      </x:c>
      <x:c r="G131" s="4" t="str">
        <x:v>bm1688,cv186x,x86</x:v>
      </x:c>
      <x:c r="H131" s="4" t="str">
        <x:v>0.2</x:v>
      </x:c>
      <x:c r="I131" s="4" t="str">
        <x:v>min=; max=; regex=</x:v>
      </x:c>
      <x:c r="J131" s="4" t="str"/>
      <x:c r="K131" s="4" t="str">
        <x:v>静止目标重叠率，范围：0.0~1.0，限小数点后3位，默认：0.2。</x:v>
      </x:c>
      <x:c r="L131" s="4" t="str">
        <x:v>默认/合法替代/空/非法类型；按已确认范围测min、max及相邻越界；保存回读并验证行为</x:v>
      </x:c>
      <x:c r="M131" s="4" t="str">
        <x:v>ALG-2</x:v>
      </x:c>
      <x:c r="N131" s="4" t="str">
        <x:v>未执行</x:v>
      </x:c>
      <x:c r="O131" s="12" t="str"/>
    </x:row>
    <x:row r="132" ht="32" customHeight="1">
      <x:c r="A132" s="9" t="str">
        <x:v>PAR-0128</x:v>
      </x:c>
      <x:c r="B132" s="9" t="str">
        <x:v>模板</x:v>
      </x:c>
      <x:c r="C132" s="9" t="str">
        <x:v>2</x:v>
      </x:c>
      <x:c r="D132" s="9" t="str">
        <x:v>人脸比对</x:v>
      </x:c>
      <x:c r="E132" s="9" t="str">
        <x:v>param.restrainTime</x:v>
      </x:c>
      <x:c r="F132" s="9" t="str">
        <x:v>静止目标去重时间(小时)</x:v>
      </x:c>
      <x:c r="G132" s="9" t="str">
        <x:v>bm1688,cv186x,x86</x:v>
      </x:c>
      <x:c r="H132" s="9" t="str">
        <x:v>6</x:v>
      </x:c>
      <x:c r="I132" s="9" t="str">
        <x:v>min=; max=; regex=/^([0-9]|[1][0-9]|[2][0-4])$/</x:v>
      </x:c>
      <x:c r="J132" s="9" t="str"/>
      <x:c r="K132" s="9" t="str">
        <x:v>静止目标去重时间，范围：1~24小时，默认：6小时。</x:v>
      </x:c>
      <x:c r="L132" s="9" t="str">
        <x:v>默认/合法替代/空/非法类型；按已确认范围测min、max及相邻越界；保存回读并验证行为</x:v>
      </x:c>
      <x:c r="M132" s="9" t="str">
        <x:v>ALG-2</x:v>
      </x:c>
      <x:c r="N132" s="9" t="str">
        <x:v>未执行</x:v>
      </x:c>
      <x:c r="O132" s="12" t="str"/>
    </x:row>
    <x:row r="133" ht="32" customHeight="1">
      <x:c r="A133" s="4" t="str">
        <x:v>PAR-0129</x:v>
      </x:c>
      <x:c r="B133" s="4" t="str">
        <x:v>模板</x:v>
      </x:c>
      <x:c r="C133" s="4" t="str">
        <x:v>2</x:v>
      </x:c>
      <x:c r="D133" s="4" t="str">
        <x:v>人脸比对</x:v>
      </x:c>
      <x:c r="E133" s="4" t="str">
        <x:v>param.overlayTrajectory</x:v>
      </x:c>
      <x:c r="F133" s="4" t="str">
        <x:v>全景图叠加轨迹</x:v>
      </x:c>
      <x:c r="G133" s="4" t="str">
        <x:v>bm1688,cv186x,x86</x:v>
      </x:c>
      <x:c r="H133" s="4" t="str">
        <x:v>0</x:v>
      </x:c>
      <x:c r="I133" s="4" t="str">
        <x:v>min=; max=; regex=/^[01]$/</x:v>
      </x:c>
      <x:c r="J133" s="4" t="str"/>
      <x:c r="K133" s="4" t="str">
        <x:v>打开后会在全景图上叠加目标运动轨迹</x:v>
      </x:c>
      <x:c r="L133" s="4" t="str">
        <x:v>默认/合法替代/空/非法类型；按已确认范围测min、max及相邻越界；保存回读并验证行为</x:v>
      </x:c>
      <x:c r="M133" s="4" t="str">
        <x:v>ALG-2</x:v>
      </x:c>
      <x:c r="N133" s="4" t="str">
        <x:v>未执行</x:v>
      </x:c>
      <x:c r="O133" s="12" t="str"/>
    </x:row>
    <x:row r="134" ht="40" customHeight="1">
      <x:c r="A134" s="9" t="str">
        <x:v>PAR-0130</x:v>
      </x:c>
      <x:c r="B134" s="9" t="str">
        <x:v>模板</x:v>
      </x:c>
      <x:c r="C134" s="9" t="str">
        <x:v>2</x:v>
      </x:c>
      <x:c r="D134" s="9" t="str">
        <x:v>人脸比对</x:v>
      </x:c>
      <x:c r="E134" s="9" t="str">
        <x:v>filter.face.side.min</x:v>
      </x:c>
      <x:c r="F134" s="9" t="str">
        <x:v>最小face尺寸</x:v>
      </x:c>
      <x:c r="G134" s="9" t="str">
        <x:v>bm1688,cv186x,x86</x:v>
      </x:c>
      <x:c r="H134" s="9" t="str">
        <x:v>60</x:v>
      </x:c>
      <x:c r="I134" s="9" t="str">
        <x:v>min=; max=; regex=/^(0|[1-9]|[1-9][0-9]|[1-9][0-9][0-9]|[1-9][0-9][0-9][0-9]|10000)$/</x:v>
      </x:c>
      <x:c r="J134" s="9" t="str"/>
      <x:c r="K134" s="9" t="str">
        <x:v>最小face尺寸：face抓拍照片的最小图像尺寸。如输入值为100，则最小face尺寸为100*100像素。范围：10px~1000像素 默认：100像素。</x:v>
      </x:c>
      <x:c r="L134" s="9" t="str">
        <x:v>默认/合法替代/空/非法类型；按已确认范围测min、max及相邻越界；保存回读并验证行为</x:v>
      </x:c>
      <x:c r="M134" s="9" t="str">
        <x:v>ALG-2</x:v>
      </x:c>
      <x:c r="N134" s="9" t="str">
        <x:v>未执行</x:v>
      </x:c>
      <x:c r="O134" s="12" t="str"/>
    </x:row>
    <x:row r="135" ht="32" customHeight="1">
      <x:c r="A135" s="4" t="str">
        <x:v>PAR-0131</x:v>
      </x:c>
      <x:c r="B135" s="4" t="str">
        <x:v>模板</x:v>
      </x:c>
      <x:c r="C135" s="4" t="str">
        <x:v>32</x:v>
      </x:c>
      <x:c r="D135" s="4" t="str">
        <x:v>未穿反光衣</x:v>
      </x:c>
      <x:c r="E135" s="4" t="str">
        <x:v>aiParam.pedestrian.confidence</x:v>
      </x:c>
      <x:c r="F135" s="4" t="str">
        <x:v>行人置信度</x:v>
      </x:c>
      <x:c r="G135" s="4" t="str">
        <x:v>bm1688,cv186x,x86</x:v>
      </x:c>
      <x:c r="H135" s="4" t="str"/>
      <x:c r="I135" s="4" t="str">
        <x:v>min=; max=; regex=</x:v>
      </x:c>
      <x:c r="J135" s="4" t="str"/>
      <x:c r="K135" s="4" t="str">
        <x:v>行人置信度，范围：0.0~1.0，限小数点后3位。</x:v>
      </x:c>
      <x:c r="L135" s="4" t="str">
        <x:v>默认/合法替代/空/非法类型；按已确认范围测min、max及相邻越界；保存回读并验证行为</x:v>
      </x:c>
      <x:c r="M135" s="4" t="str">
        <x:v>ALG-32</x:v>
      </x:c>
      <x:c r="N135" s="4" t="str">
        <x:v>未执行</x:v>
      </x:c>
      <x:c r="O135" s="12" t="str"/>
    </x:row>
    <x:row r="136" ht="32" customHeight="1">
      <x:c r="A136" s="9" t="str">
        <x:v>PAR-0132</x:v>
      </x:c>
      <x:c r="B136" s="9" t="str">
        <x:v>模板</x:v>
      </x:c>
      <x:c r="C136" s="9" t="str">
        <x:v>32</x:v>
      </x:c>
      <x:c r="D136" s="9" t="str">
        <x:v>未穿反光衣</x:v>
      </x:c>
      <x:c r="E136" s="9" t="str">
        <x:v>aiParam.pedestrian.confidenceConfig</x:v>
      </x:c>
      <x:c r="F136" s="9" t="str">
        <x:v>行人置信度偏移</x:v>
      </x:c>
      <x:c r="G136" s="9" t="str">
        <x:v>bm1688,cv186x,x86</x:v>
      </x:c>
      <x:c r="H136" s="9" t="str">
        <x:v>0,0</x:v>
      </x:c>
      <x:c r="I136" s="9" t="str">
        <x:v>min=; max=; regex=</x:v>
      </x:c>
      <x:c r="J136" s="9" t="str"/>
      <x:c r="K136" s="9" t="str">
        <x:v>行人置信度偏移，默认为严格阈值。可选严格阈值、推荐阈值。</x:v>
      </x:c>
      <x:c r="L136" s="9" t="str">
        <x:v>默认/合法替代/空/非法类型；按已确认范围测min、max及相邻越界；保存回读并验证行为</x:v>
      </x:c>
      <x:c r="M136" s="9" t="str">
        <x:v>ALG-32</x:v>
      </x:c>
      <x:c r="N136" s="9" t="str">
        <x:v>未执行</x:v>
      </x:c>
      <x:c r="O136" s="12" t="str"/>
    </x:row>
    <x:row r="137" ht="32" customHeight="1">
      <x:c r="A137" s="4" t="str">
        <x:v>PAR-0133</x:v>
      </x:c>
      <x:c r="B137" s="4" t="str">
        <x:v>模板</x:v>
      </x:c>
      <x:c r="C137" s="4" t="str">
        <x:v>32</x:v>
      </x:c>
      <x:c r="D137" s="4" t="str">
        <x:v>未穿反光衣</x:v>
      </x:c>
      <x:c r="E137" s="4" t="str">
        <x:v>aiParam.pedestrian.detPostion</x:v>
      </x:c>
      <x:c r="F137" s="4" t="str">
        <x:v>行人检测方式</x:v>
      </x:c>
      <x:c r="G137" s="4" t="str">
        <x:v>bm1688,cv186x,x86</x:v>
      </x:c>
      <x:c r="H137" s="4" t="str">
        <x:v>0</x:v>
      </x:c>
      <x:c r="I137" s="4" t="str">
        <x:v>枚举：0,1,2</x:v>
      </x:c>
      <x:c r="J137" s="4" t="str"/>
      <x:c r="K137" s="4" t="str">
        <x:v>检测方式：定义检测框中心点的位置。默认在底部。可选顶部、底部、中心。</x:v>
      </x:c>
      <x:c r="L137" s="4" t="str">
        <x:v>依次选每个枚举；非法值；保存刷新；触发依赖字段</x:v>
      </x:c>
      <x:c r="M137" s="4" t="str">
        <x:v>ALG-32</x:v>
      </x:c>
      <x:c r="N137" s="4" t="str">
        <x:v>未执行</x:v>
      </x:c>
      <x:c r="O137" s="12" t="str"/>
    </x:row>
    <x:row r="138" ht="32" customHeight="1">
      <x:c r="A138" s="9" t="str">
        <x:v>PAR-0134</x:v>
      </x:c>
      <x:c r="B138" s="9" t="str">
        <x:v>模板</x:v>
      </x:c>
      <x:c r="C138" s="9" t="str">
        <x:v>32</x:v>
      </x:c>
      <x:c r="D138" s="9" t="str">
        <x:v>未穿反光衣</x:v>
      </x:c>
      <x:c r="E138" s="9" t="str">
        <x:v>aiParam.1001003.trackDynamicMatch</x:v>
      </x:c>
      <x:c r="F138" s="9" t="str">
        <x:v>行人检测追踪半径</x:v>
      </x:c>
      <x:c r="G138" s="9" t="str">
        <x:v>bm1688,cv186x,x86</x:v>
      </x:c>
      <x:c r="H138" s="9" t="str">
        <x:v>2.3</x:v>
      </x:c>
      <x:c r="I138" s="9" t="str">
        <x:v>min=; max=; regex=</x:v>
      </x:c>
      <x:c r="J138" s="9" t="str"/>
      <x:c r="K138" s="9" t="str">
        <x:v>追踪半径，跟追踪帧数也有关系。范围：0~100，例如：2.3</x:v>
      </x:c>
      <x:c r="L138" s="9" t="str">
        <x:v>默认/合法替代/空/非法类型；按已确认范围测min、max及相邻越界；保存回读并验证行为</x:v>
      </x:c>
      <x:c r="M138" s="9" t="str">
        <x:v>ALG-32</x:v>
      </x:c>
      <x:c r="N138" s="9" t="str">
        <x:v>未执行</x:v>
      </x:c>
      <x:c r="O138" s="12" t="str"/>
    </x:row>
    <x:row r="139" ht="32" customHeight="1">
      <x:c r="A139" s="4" t="str">
        <x:v>PAR-0135</x:v>
      </x:c>
      <x:c r="B139" s="4" t="str">
        <x:v>模板</x:v>
      </x:c>
      <x:c r="C139" s="4" t="str">
        <x:v>32</x:v>
      </x:c>
      <x:c r="D139" s="4" t="str">
        <x:v>未穿反光衣</x:v>
      </x:c>
      <x:c r="E139" s="4" t="str">
        <x:v>param.workClothesSet</x:v>
      </x:c>
      <x:c r="F139" s="4" t="str">
        <x:v>绑定工服分组</x:v>
      </x:c>
      <x:c r="G139" s="4" t="str">
        <x:v>bm1688,cv186x,x86</x:v>
      </x:c>
      <x:c r="H139" s="4" t="str"/>
      <x:c r="I139" s="4" t="str">
        <x:v>min=; max=; regex=</x:v>
      </x:c>
      <x:c r="J139" s="4" t="str"/>
      <x:c r="K139" s="4" t="str">
        <x:v>选择需要比对的工服分组</x:v>
      </x:c>
      <x:c r="L139" s="4" t="str">
        <x:v>默认/合法替代/空/非法类型；按已确认范围测min、max及相邻越界；保存回读并验证行为</x:v>
      </x:c>
      <x:c r="M139" s="4" t="str">
        <x:v>ALG-32</x:v>
      </x:c>
      <x:c r="N139" s="4" t="str">
        <x:v>未执行</x:v>
      </x:c>
      <x:c r="O139" s="12" t="str"/>
    </x:row>
    <x:row r="140" ht="40" customHeight="1">
      <x:c r="A140" s="9" t="str">
        <x:v>PAR-0136</x:v>
      </x:c>
      <x:c r="B140" s="9" t="str">
        <x:v>模板</x:v>
      </x:c>
      <x:c r="C140" s="9" t="str">
        <x:v>32</x:v>
      </x:c>
      <x:c r="D140" s="9" t="str">
        <x:v>未穿反光衣</x:v>
      </x:c>
      <x:c r="E140" s="9" t="str">
        <x:v>param.targetAlarmInterval</x:v>
      </x:c>
      <x:c r="F140" s="9" t="str">
        <x:v>告警时间间隔（秒）</x:v>
      </x:c>
      <x:c r="G140" s="9" t="str">
        <x:v>bm1688,cv186x,x86</x:v>
      </x:c>
      <x:c r="H140" s="9" t="str">
        <x:v>60</x:v>
      </x:c>
      <x:c r="I140" s="9" t="str">
        <x:v>min=; max=; regex=/^([1-9]|[1-9][0-9]|[1-9][0-9][0-9]|[1-9][0-9][0-9][0-9]|[1-2][0-9][0-9][0-9][0-9]|[3][0-5][0-9][0-9][0-9]|36000)$/</x:v>
      </x:c>
      <x:c r="J140" s="9" t="str"/>
      <x:c r="K140" s="9" t="str">
        <x:v>告警时间间隔：2次告警事件的间隔。范围：1~36000秒，默认：60秒。</x:v>
      </x:c>
      <x:c r="L140" s="9" t="str">
        <x:v>默认/合法替代/空/非法类型；按已确认范围测min、max及相邻越界；保存回读并验证行为</x:v>
      </x:c>
      <x:c r="M140" s="9" t="str">
        <x:v>ALG-32</x:v>
      </x:c>
      <x:c r="N140" s="9" t="str">
        <x:v>未执行</x:v>
      </x:c>
      <x:c r="O140" s="12" t="str"/>
    </x:row>
    <x:row r="141" ht="32" customHeight="1">
      <x:c r="A141" s="4" t="str">
        <x:v>PAR-0137</x:v>
      </x:c>
      <x:c r="B141" s="4" t="str">
        <x:v>模板</x:v>
      </x:c>
      <x:c r="C141" s="4" t="str">
        <x:v>32</x:v>
      </x:c>
      <x:c r="D141" s="4" t="str">
        <x:v>未穿反光衣</x:v>
      </x:c>
      <x:c r="E141" s="4" t="str">
        <x:v>param.targetAlarmCount</x:v>
      </x:c>
      <x:c r="F141" s="4" t="str">
        <x:v>告警次数</x:v>
      </x:c>
      <x:c r="G141" s="4" t="str">
        <x:v>bm1688,cv186x,x86</x:v>
      </x:c>
      <x:c r="H141" s="4" t="str">
        <x:v>1</x:v>
      </x:c>
      <x:c r="I141" s="4" t="str">
        <x:v>min=; max=; regex=/^(0|[1-9]|[1-9][0-9]|100)$/</x:v>
      </x:c>
      <x:c r="J141" s="4" t="str"/>
      <x:c r="K141" s="4" t="str">
        <x:v>告警次数：范围：0-100，默认为1。0表示不限次数。</x:v>
      </x:c>
      <x:c r="L141" s="4" t="str">
        <x:v>默认/合法替代/空/非法类型；按已确认范围测min、max及相邻越界；保存回读并验证行为</x:v>
      </x:c>
      <x:c r="M141" s="4" t="str">
        <x:v>ALG-32</x:v>
      </x:c>
      <x:c r="N141" s="4" t="str">
        <x:v>未执行</x:v>
      </x:c>
      <x:c r="O141" s="12" t="str"/>
    </x:row>
    <x:row r="142" ht="40" customHeight="1">
      <x:c r="A142" s="9" t="str">
        <x:v>PAR-0138</x:v>
      </x:c>
      <x:c r="B142" s="9" t="str">
        <x:v>模板</x:v>
      </x:c>
      <x:c r="C142" s="9" t="str">
        <x:v>32</x:v>
      </x:c>
      <x:c r="D142" s="9" t="str">
        <x:v>未穿反光衣</x:v>
      </x:c>
      <x:c r="E142" s="9" t="str">
        <x:v>param.restrainSwitch</x:v>
      </x:c>
      <x:c r="F142" s="9" t="str">
        <x:v>静止目标去重</x:v>
      </x:c>
      <x:c r="G142" s="9" t="str">
        <x:v>bm1688,cv186x,x86</x:v>
      </x:c>
      <x:c r="H142" s="9" t="str">
        <x:v>0</x:v>
      </x:c>
      <x:c r="I142" s="9" t="str">
        <x:v>min=; max=; regex=/^[01]$/</x:v>
      </x:c>
      <x:c r="J142" s="9" t="str"/>
      <x:c r="K142" s="9" t="str">
        <x:v>静止目标去重：对于告警目标，开启此功能后，将进行目标静止状态检测，如判定为静止目标，则不会重复报警。</x:v>
      </x:c>
      <x:c r="L142" s="9" t="str">
        <x:v>默认/合法替代/空/非法类型；按已确认范围测min、max及相邻越界；保存回读并验证行为</x:v>
      </x:c>
      <x:c r="M142" s="9" t="str">
        <x:v>ALG-32</x:v>
      </x:c>
      <x:c r="N142" s="9" t="str">
        <x:v>未执行</x:v>
      </x:c>
      <x:c r="O142" s="12" t="str"/>
    </x:row>
    <x:row r="143" ht="32" customHeight="1">
      <x:c r="A143" s="4" t="str">
        <x:v>PAR-0139</x:v>
      </x:c>
      <x:c r="B143" s="4" t="str">
        <x:v>模板</x:v>
      </x:c>
      <x:c r="C143" s="4" t="str">
        <x:v>32</x:v>
      </x:c>
      <x:c r="D143" s="4" t="str">
        <x:v>未穿反光衣</x:v>
      </x:c>
      <x:c r="E143" s="4" t="str">
        <x:v>param.overlapRate</x:v>
      </x:c>
      <x:c r="F143" s="4" t="str">
        <x:v>静止目标重叠率</x:v>
      </x:c>
      <x:c r="G143" s="4" t="str">
        <x:v>bm1688,cv186x,x86</x:v>
      </x:c>
      <x:c r="H143" s="4" t="str">
        <x:v>0.2</x:v>
      </x:c>
      <x:c r="I143" s="4" t="str">
        <x:v>min=; max=; regex=/^(0(\.\d{1,3})?|1(\.0{1,3})?)$/</x:v>
      </x:c>
      <x:c r="J143" s="4" t="str">
        <x:v>{"key":"param.restrainSwitch","value":"1"}</x:v>
      </x:c>
      <x:c r="K143" s="4" t="str">
        <x:v>静止目标重叠率，范围：0.0~1.0，限小数点后3位，默认：0.2。</x:v>
      </x:c>
      <x:c r="L143" s="4" t="str">
        <x:v>默认/合法替代/空/非法类型；按已确认范围测min、max及相邻越界；保存回读并验证行为</x:v>
      </x:c>
      <x:c r="M143" s="4" t="str">
        <x:v>ALG-32</x:v>
      </x:c>
      <x:c r="N143" s="4" t="str">
        <x:v>未执行</x:v>
      </x:c>
      <x:c r="O143" s="12" t="str"/>
    </x:row>
    <x:row r="144" ht="32" customHeight="1">
      <x:c r="A144" s="9" t="str">
        <x:v>PAR-0140</x:v>
      </x:c>
      <x:c r="B144" s="9" t="str">
        <x:v>模板</x:v>
      </x:c>
      <x:c r="C144" s="9" t="str">
        <x:v>32</x:v>
      </x:c>
      <x:c r="D144" s="9" t="str">
        <x:v>未穿反光衣</x:v>
      </x:c>
      <x:c r="E144" s="9" t="str">
        <x:v>param.restrainTime</x:v>
      </x:c>
      <x:c r="F144" s="9" t="str">
        <x:v>静止目标去重时间(小时)</x:v>
      </x:c>
      <x:c r="G144" s="9" t="str">
        <x:v>bm1688,cv186x,x86</x:v>
      </x:c>
      <x:c r="H144" s="9" t="str">
        <x:v>6</x:v>
      </x:c>
      <x:c r="I144" s="9" t="str">
        <x:v>min=; max=; regex=/^([0-9]|[1][0-9]|[2][0-4])$/</x:v>
      </x:c>
      <x:c r="J144" s="9" t="str">
        <x:v>{"key":"param.restrainSwitch","value":"1"}</x:v>
      </x:c>
      <x:c r="K144" s="9" t="str">
        <x:v>静止目标去重时间，范围：1~24小时，默认：6小时。</x:v>
      </x:c>
      <x:c r="L144" s="9" t="str">
        <x:v>默认/合法替代/空/非法类型；按已确认范围测min、max及相邻越界；保存回读并验证行为</x:v>
      </x:c>
      <x:c r="M144" s="9" t="str">
        <x:v>ALG-32</x:v>
      </x:c>
      <x:c r="N144" s="9" t="str">
        <x:v>未执行</x:v>
      </x:c>
      <x:c r="O144" s="12" t="str"/>
    </x:row>
    <x:row r="145" ht="32" customHeight="1">
      <x:c r="A145" s="4" t="str">
        <x:v>PAR-0141</x:v>
      </x:c>
      <x:c r="B145" s="4" t="str">
        <x:v>模板</x:v>
      </x:c>
      <x:c r="C145" s="4" t="str">
        <x:v>32</x:v>
      </x:c>
      <x:c r="D145" s="4" t="str">
        <x:v>未穿反光衣</x:v>
      </x:c>
      <x:c r="E145" s="4" t="str">
        <x:v>param.overlayTrajectory</x:v>
      </x:c>
      <x:c r="F145" s="4" t="str">
        <x:v>全景图叠加轨迹</x:v>
      </x:c>
      <x:c r="G145" s="4" t="str">
        <x:v>bm1688,cv186x,x86</x:v>
      </x:c>
      <x:c r="H145" s="4" t="str">
        <x:v>0</x:v>
      </x:c>
      <x:c r="I145" s="4" t="str">
        <x:v>min=; max=; regex=/^[01]$/</x:v>
      </x:c>
      <x:c r="J145" s="4" t="str"/>
      <x:c r="K145" s="4" t="str">
        <x:v>打开后会在全景图上叠加目标运动轨迹</x:v>
      </x:c>
      <x:c r="L145" s="4" t="str">
        <x:v>默认/合法替代/空/非法类型；按已确认范围测min、max及相邻越界；保存回读并验证行为</x:v>
      </x:c>
      <x:c r="M145" s="4" t="str">
        <x:v>ALG-32</x:v>
      </x:c>
      <x:c r="N145" s="4" t="str">
        <x:v>未执行</x:v>
      </x:c>
      <x:c r="O145" s="12" t="str"/>
    </x:row>
    <x:row r="146" ht="40" customHeight="1">
      <x:c r="A146" s="9" t="str">
        <x:v>PAR-0142</x:v>
      </x:c>
      <x:c r="B146" s="9" t="str">
        <x:v>模板</x:v>
      </x:c>
      <x:c r="C146" s="9" t="str">
        <x:v>32</x:v>
      </x:c>
      <x:c r="D146" s="9" t="str">
        <x:v>未穿反光衣</x:v>
      </x:c>
      <x:c r="E146" s="9" t="str">
        <x:v>filter.pedestrian.side.min</x:v>
      </x:c>
      <x:c r="F146" s="9" t="str">
        <x:v>最小行人尺寸</x:v>
      </x:c>
      <x:c r="G146" s="9" t="str">
        <x:v>bm1688,cv186x,x86</x:v>
      </x:c>
      <x:c r="H146" s="9" t="str">
        <x:v>60</x:v>
      </x:c>
      <x:c r="I146" s="9" t="str">
        <x:v>min=; max=; regex=/^(0|[1-9]|[1-9][0-9]|[1-9][0-9][0-9]|[1-9][0-9][0-9][0-9]|10000)$/</x:v>
      </x:c>
      <x:c r="J146" s="9" t="str"/>
      <x:c r="K146" s="9" t="str">
        <x:v>最小行人尺寸：行人抓拍照片的最小图像尺寸。如输入值为100，则最小行人尺寸为100*100像素。范围：10px~1000像素 默认：100像素。</x:v>
      </x:c>
      <x:c r="L146" s="9" t="str">
        <x:v>默认/合法替代/空/非法类型；按已确认范围测min、max及相邻越界；保存回读并验证行为</x:v>
      </x:c>
      <x:c r="M146" s="9" t="str">
        <x:v>ALG-32</x:v>
      </x:c>
      <x:c r="N146" s="9" t="str">
        <x:v>未执行</x:v>
      </x:c>
      <x:c r="O146" s="12" t="str"/>
    </x:row>
    <x:row r="147" ht="32" customHeight="1">
      <x:c r="A147" s="4" t="str">
        <x:v>PAR-0143</x:v>
      </x:c>
      <x:c r="B147" s="4" t="str">
        <x:v>模板</x:v>
      </x:c>
      <x:c r="C147" s="4" t="str">
        <x:v>32</x:v>
      </x:c>
      <x:c r="D147" s="4" t="str">
        <x:v>未穿反光衣</x:v>
      </x:c>
      <x:c r="E147" s="4" t="str">
        <x:v>aiParam.quality0.confidence</x:v>
      </x:c>
      <x:c r="F147" s="4" t="str">
        <x:v>行人质量0置信度</x:v>
      </x:c>
      <x:c r="G147" s="4" t="str">
        <x:v>bm1688,cv186x,x86</x:v>
      </x:c>
      <x:c r="H147" s="4" t="str"/>
      <x:c r="I147" s="4" t="str">
        <x:v>min=; max=; regex=</x:v>
      </x:c>
      <x:c r="J147" s="4" t="str"/>
      <x:c r="K147" s="4" t="str">
        <x:v>行人质量0置信度，范围：0.0~1.0，限小数点后3位。</x:v>
      </x:c>
      <x:c r="L147" s="4" t="str">
        <x:v>默认/合法替代/空/非法类型；按已确认范围测min、max及相邻越界；保存回读并验证行为</x:v>
      </x:c>
      <x:c r="M147" s="4" t="str">
        <x:v>ALG-32</x:v>
      </x:c>
      <x:c r="N147" s="4" t="str">
        <x:v>未执行</x:v>
      </x:c>
      <x:c r="O147" s="12" t="str"/>
    </x:row>
    <x:row r="148" ht="32" customHeight="1">
      <x:c r="A148" s="9" t="str">
        <x:v>PAR-0144</x:v>
      </x:c>
      <x:c r="B148" s="9" t="str">
        <x:v>模板</x:v>
      </x:c>
      <x:c r="C148" s="9" t="str">
        <x:v>32</x:v>
      </x:c>
      <x:c r="D148" s="9" t="str">
        <x:v>未穿反光衣</x:v>
      </x:c>
      <x:c r="E148" s="9" t="str">
        <x:v>aiParam.quality0.confidenceConfig</x:v>
      </x:c>
      <x:c r="F148" s="9" t="str">
        <x:v>行人质量0置信度偏移</x:v>
      </x:c>
      <x:c r="G148" s="9" t="str">
        <x:v>bm1688,cv186x,x86</x:v>
      </x:c>
      <x:c r="H148" s="9" t="str">
        <x:v>0,0</x:v>
      </x:c>
      <x:c r="I148" s="9" t="str">
        <x:v>min=; max=; regex=</x:v>
      </x:c>
      <x:c r="J148" s="9" t="str"/>
      <x:c r="K148" s="9" t="str">
        <x:v>行人质量0置信度偏移，默认为严格阈值。可选严格阈值、推荐阈值。</x:v>
      </x:c>
      <x:c r="L148" s="9" t="str">
        <x:v>默认/合法替代/空/非法类型；按已确认范围测min、max及相邻越界；保存回读并验证行为</x:v>
      </x:c>
      <x:c r="M148" s="9" t="str">
        <x:v>ALG-32</x:v>
      </x:c>
      <x:c r="N148" s="9" t="str">
        <x:v>未执行</x:v>
      </x:c>
      <x:c r="O148" s="12" t="str"/>
    </x:row>
    <x:row r="149" ht="32" customHeight="1">
      <x:c r="A149" s="4" t="str">
        <x:v>PAR-0145</x:v>
      </x:c>
      <x:c r="B149" s="4" t="str">
        <x:v>模板</x:v>
      </x:c>
      <x:c r="C149" s="4" t="str">
        <x:v>32</x:v>
      </x:c>
      <x:c r="D149" s="4" t="str">
        <x:v>未穿反光衣</x:v>
      </x:c>
      <x:c r="E149" s="4" t="str">
        <x:v>param.videoRepeatCount</x:v>
      </x:c>
      <x:c r="F149" s="4" t="str">
        <x:v>离线视频播放次数</x:v>
      </x:c>
      <x:c r="G149" s="4" t="str">
        <x:v>bm1688,cv186x,x86</x:v>
      </x:c>
      <x:c r="H149" s="4" t="str">
        <x:v>1</x:v>
      </x:c>
      <x:c r="I149" s="4" t="str">
        <x:v>min=; max=; regex=</x:v>
      </x:c>
      <x:c r="J149" s="4" t="str"/>
      <x:c r="K149" s="4" t="str">
        <x:v>离线视频播放次数：0 表示无限循环，1-100 表示总播放次数。</x:v>
      </x:c>
      <x:c r="L149" s="4" t="str">
        <x:v>默认/合法替代/空/非法类型；按已确认范围测min、max及相邻越界；保存回读并验证行为</x:v>
      </x:c>
      <x:c r="M149" s="4" t="str">
        <x:v>ALG-32</x:v>
      </x:c>
      <x:c r="N149" s="4" t="str">
        <x:v>未执行</x:v>
      </x:c>
      <x:c r="O149" s="12" t="str"/>
    </x:row>
    <x:row r="150" ht="40" customHeight="1">
      <x:c r="A150" s="9" t="str">
        <x:v>PAR-0146</x:v>
      </x:c>
      <x:c r="B150" s="9" t="str">
        <x:v>模板</x:v>
      </x:c>
      <x:c r="C150" s="9" t="str">
        <x:v>32</x:v>
      </x:c>
      <x:c r="D150" s="9" t="str">
        <x:v>未穿反光衣</x:v>
      </x:c>
      <x:c r="E150" s="9" t="str">
        <x:v>param.videoReadFps</x:v>
      </x:c>
      <x:c r="F150" s="9" t="str">
        <x:v>离线视频播放取帧帧率</x:v>
      </x:c>
      <x:c r="G150" s="9" t="str">
        <x:v>bm1688,cv186x,x86</x:v>
      </x:c>
      <x:c r="H150" s="9" t="str">
        <x:v>-1</x:v>
      </x:c>
      <x:c r="I150" s="9" t="str">
        <x:v>min=; max=; regex=</x:v>
      </x:c>
      <x:c r="J150" s="9" t="str"/>
      <x:c r="K150" s="9" t="str">
        <x:v>离线视频有不正常帧速现象，指定该参数可以强制指定帧率。&lt;0 不强制，&gt;=0 视频取帧时强制帧率，默认：-1全帧。</x:v>
      </x:c>
      <x:c r="L150" s="9" t="str">
        <x:v>默认/合法替代/空/非法类型；按已确认范围测min、max及相邻越界；保存回读并验证行为</x:v>
      </x:c>
      <x:c r="M150" s="9" t="str">
        <x:v>ALG-32</x:v>
      </x:c>
      <x:c r="N150" s="9" t="str">
        <x:v>未执行</x:v>
      </x:c>
      <x:c r="O150" s="12" t="str"/>
    </x:row>
    <x:row r="151" ht="32" customHeight="1">
      <x:c r="A151" s="4" t="str">
        <x:v>PAR-0147</x:v>
      </x:c>
      <x:c r="B151" s="4" t="str">
        <x:v>模板</x:v>
      </x:c>
      <x:c r="C151" s="4" t="str">
        <x:v>32</x:v>
      </x:c>
      <x:c r="D151" s="4" t="str">
        <x:v>未穿反光衣</x:v>
      </x:c>
      <x:c r="E151" s="4" t="str">
        <x:v>aiParam.1001003.frames</x:v>
      </x:c>
      <x:c r="F151" s="4" t="str">
        <x:v>行人检测追踪历史帧数</x:v>
      </x:c>
      <x:c r="G151" s="4" t="str">
        <x:v>bm1688,cv186x,x86</x:v>
      </x:c>
      <x:c r="H151" s="4" t="str">
        <x:v>10</x:v>
      </x:c>
      <x:c r="I151" s="4" t="str">
        <x:v>min=; max=; regex=/^([2-9]|[1-9][0-9]|100)$/</x:v>
      </x:c>
      <x:c r="J151" s="4" t="str"/>
      <x:c r="K151" s="4" t="str">
        <x:v>追踪历史帧数。范围：2~100</x:v>
      </x:c>
      <x:c r="L151" s="4" t="str">
        <x:v>默认/合法替代/空/非法类型；按已确认范围测min、max及相邻越界；保存回读并验证行为</x:v>
      </x:c>
      <x:c r="M151" s="4" t="str">
        <x:v>ALG-32</x:v>
      </x:c>
      <x:c r="N151" s="4" t="str">
        <x:v>未执行</x:v>
      </x:c>
      <x:c r="O151" s="12" t="str"/>
    </x:row>
    <x:row r="152" ht="32" customHeight="1">
      <x:c r="A152" s="9" t="str">
        <x:v>PAR-0148</x:v>
      </x:c>
      <x:c r="B152" s="9" t="str">
        <x:v>模板</x:v>
      </x:c>
      <x:c r="C152" s="9" t="str">
        <x:v>32</x:v>
      </x:c>
      <x:c r="D152" s="9" t="str">
        <x:v>未穿反光衣</x:v>
      </x:c>
      <x:c r="E152" s="9" t="str">
        <x:v>aiParam.1001003.motion</x:v>
      </x:c>
      <x:c r="F152" s="9" t="str">
        <x:v>行人检测静止阈值</x:v>
      </x:c>
      <x:c r="G152" s="9" t="str">
        <x:v>bm1688,cv186x,x86</x:v>
      </x:c>
      <x:c r="H152" s="9" t="str">
        <x:v>50.0</x:v>
      </x:c>
      <x:c r="I152" s="9" t="str">
        <x:v>min=; max=; regex=</x:v>
      </x:c>
      <x:c r="J152" s="9" t="str"/>
      <x:c r="K152" s="9" t="str">
        <x:v>静止阈值。范围：1~99，例如：80.0</x:v>
      </x:c>
      <x:c r="L152" s="9" t="str">
        <x:v>默认/合法替代/空/非法类型；按已确认范围测min、max及相邻越界；保存回读并验证行为</x:v>
      </x:c>
      <x:c r="M152" s="9" t="str">
        <x:v>ALG-32</x:v>
      </x:c>
      <x:c r="N152" s="9" t="str">
        <x:v>未执行</x:v>
      </x:c>
      <x:c r="O152" s="12" t="str"/>
    </x:row>
    <x:row r="153" ht="40" customHeight="1">
      <x:c r="A153" s="4" t="str">
        <x:v>PAR-0149</x:v>
      </x:c>
      <x:c r="B153" s="4" t="str">
        <x:v>模板</x:v>
      </x:c>
      <x:c r="C153" s="4" t="str">
        <x:v>32</x:v>
      </x:c>
      <x:c r="D153" s="4" t="str">
        <x:v>未穿反光衣</x:v>
      </x:c>
      <x:c r="E153" s="4" t="str">
        <x:v>param.sensitivity</x:v>
      </x:c>
      <x:c r="F153" s="4" t="str">
        <x:v>灵敏度</x:v>
      </x:c>
      <x:c r="G153" s="4" t="str">
        <x:v>bm1688,cv186x,x86</x:v>
      </x:c>
      <x:c r="H153" s="4" t="str">
        <x:v>5</x:v>
      </x:c>
      <x:c r="I153" s="4" t="str">
        <x:v>min=; max=; regex=/^([1-9]|10)$/</x:v>
      </x:c>
      <x:c r="J153" s="4" t="str"/>
      <x:c r="K153" s="4" t="str">
        <x:v>灵敏度：用于计算总数范围内的命中数。如总数为10，取帧频率为3，则需时间≥10/3秒，才有可能产生告警。</x:v>
      </x:c>
      <x:c r="L153" s="4" t="str">
        <x:v>默认/合法替代/空/非法类型；按已确认范围测min、max及相邻越界；保存回读并验证行为</x:v>
      </x:c>
      <x:c r="M153" s="4" t="str">
        <x:v>ALG-32</x:v>
      </x:c>
      <x:c r="N153" s="4" t="str">
        <x:v>未执行</x:v>
      </x:c>
      <x:c r="O153" s="12" t="str"/>
    </x:row>
    <x:row r="154" ht="40" customHeight="1">
      <x:c r="A154" s="9" t="str">
        <x:v>PAR-0150</x:v>
      </x:c>
      <x:c r="B154" s="9" t="str">
        <x:v>模板</x:v>
      </x:c>
      <x:c r="C154" s="9" t="str">
        <x:v>32</x:v>
      </x:c>
      <x:c r="D154" s="9" t="str">
        <x:v>未穿反光衣</x:v>
      </x:c>
      <x:c r="E154" s="9" t="str">
        <x:v>param.detectionDuration</x:v>
      </x:c>
      <x:c r="F154" s="9" t="str">
        <x:v>检测时间（秒）</x:v>
      </x:c>
      <x:c r="G154" s="9" t="str">
        <x:v>bm1688,cv186x,x86</x:v>
      </x:c>
      <x:c r="H154" s="9" t="str">
        <x:v>2</x:v>
      </x:c>
      <x:c r="I154" s="9" t="str">
        <x:v>min=; max=; regex=/^([1-9]|[1-9][0-9]|[1-9][0-9][0-9]|[1-2][0-9][0-9][0-9]|[3][0-5][0-9][0-9]|3600)$/</x:v>
      </x:c>
      <x:c r="J154" s="9" t="str"/>
      <x:c r="K154" s="9" t="str">
        <x:v>检测时间：范围：1-3600。默认2。</x:v>
      </x:c>
      <x:c r="L154" s="9" t="str">
        <x:v>默认/合法替代/空/非法类型；按已确认范围测min、max及相邻越界；保存回读并验证行为</x:v>
      </x:c>
      <x:c r="M154" s="9" t="str">
        <x:v>ALG-32</x:v>
      </x:c>
      <x:c r="N154" s="9" t="str">
        <x:v>未执行</x:v>
      </x:c>
      <x:c r="O154" s="12" t="str"/>
    </x:row>
    <x:row r="155" ht="40" customHeight="1">
      <x:c r="A155" s="4" t="str">
        <x:v>PAR-0151</x:v>
      </x:c>
      <x:c r="B155" s="4" t="str">
        <x:v>模板</x:v>
      </x:c>
      <x:c r="C155" s="4" t="str">
        <x:v>34707</x:v>
      </x:c>
      <x:c r="D155" s="4" t="str">
        <x:v>视觉语言大模型分析</x:v>
      </x:c>
      <x:c r="E155" s="4" t="str">
        <x:v>param.alarmInterval</x:v>
      </x:c>
      <x:c r="F155" s="4" t="str">
        <x:v>告警时间间隔（秒）</x:v>
      </x:c>
      <x:c r="G155" s="4" t="str">
        <x:v>bm1688,cv186x,x86</x:v>
      </x:c>
      <x:c r="H155" s="4" t="str">
        <x:v>3</x:v>
      </x:c>
      <x:c r="I155" s="4" t="str">
        <x:v>min=; max=; regex=/^([1-9]|[1-9][0-9]|[1-9][0-9][0-9]|[1-9][0-9][0-9][0-9]|[1-2][0-9][0-9][0-9][0-9]|[3][0-5][0-9][0-9][0-9]|36000)$/</x:v>
      </x:c>
      <x:c r="J155" s="4" t="str"/>
      <x:c r="K155" s="4" t="str">
        <x:v>告警时间间隔：2次告警事件的间隔。范围：1~36000秒，默认：3秒。</x:v>
      </x:c>
      <x:c r="L155" s="4" t="str">
        <x:v>默认/合法替代/空/非法类型；按已确认范围测min、max及相邻越界；保存回读并验证行为</x:v>
      </x:c>
      <x:c r="M155" s="4" t="str">
        <x:v>ALG-34707</x:v>
      </x:c>
      <x:c r="N155" s="4" t="str">
        <x:v>未执行</x:v>
      </x:c>
      <x:c r="O155" s="12" t="str"/>
    </x:row>
    <x:row r="156" ht="40" customHeight="1">
      <x:c r="A156" s="9" t="str">
        <x:v>PAR-0152</x:v>
      </x:c>
      <x:c r="B156" s="9" t="str">
        <x:v>模板</x:v>
      </x:c>
      <x:c r="C156" s="9" t="str">
        <x:v>34707</x:v>
      </x:c>
      <x:c r="D156" s="9" t="str">
        <x:v>视觉语言大模型分析</x:v>
      </x:c>
      <x:c r="E156" s="9" t="str">
        <x:v>param.restrainSwitch</x:v>
      </x:c>
      <x:c r="F156" s="9" t="str">
        <x:v>静止目标去重</x:v>
      </x:c>
      <x:c r="G156" s="9" t="str">
        <x:v>bm1688,cv186x,x86</x:v>
      </x:c>
      <x:c r="H156" s="9" t="str">
        <x:v>0</x:v>
      </x:c>
      <x:c r="I156" s="9" t="str">
        <x:v>min=; max=; regex=/^[01]$/</x:v>
      </x:c>
      <x:c r="J156" s="9" t="str"/>
      <x:c r="K156" s="9" t="str">
        <x:v>静止目标去重：对于告警目标，开启此功能后，将进行目标静止状态检测，如判定为静止目标，则不会重复报警。</x:v>
      </x:c>
      <x:c r="L156" s="9" t="str">
        <x:v>默认/合法替代/空/非法类型；按已确认范围测min、max及相邻越界；保存回读并验证行为</x:v>
      </x:c>
      <x:c r="M156" s="9" t="str">
        <x:v>ALG-34707</x:v>
      </x:c>
      <x:c r="N156" s="9" t="str">
        <x:v>未执行</x:v>
      </x:c>
      <x:c r="O156" s="12" t="str"/>
    </x:row>
    <x:row r="157" ht="32" customHeight="1">
      <x:c r="A157" s="4" t="str">
        <x:v>PAR-0153</x:v>
      </x:c>
      <x:c r="B157" s="4" t="str">
        <x:v>模板</x:v>
      </x:c>
      <x:c r="C157" s="4" t="str">
        <x:v>34707</x:v>
      </x:c>
      <x:c r="D157" s="4" t="str">
        <x:v>视觉语言大模型分析</x:v>
      </x:c>
      <x:c r="E157" s="4" t="str">
        <x:v>param.overlapRate</x:v>
      </x:c>
      <x:c r="F157" s="4" t="str">
        <x:v>静止目标重叠率</x:v>
      </x:c>
      <x:c r="G157" s="4" t="str">
        <x:v>bm1688,cv186x,x86</x:v>
      </x:c>
      <x:c r="H157" s="4" t="str">
        <x:v>0.2</x:v>
      </x:c>
      <x:c r="I157" s="4" t="str">
        <x:v>min=; max=; regex=</x:v>
      </x:c>
      <x:c r="J157" s="4" t="str"/>
      <x:c r="K157" s="4" t="str">
        <x:v>静止目标重叠率，范围：0.0~1.0，限小数点后3位，默认：0.2。</x:v>
      </x:c>
      <x:c r="L157" s="4" t="str">
        <x:v>默认/合法替代/空/非法类型；按已确认范围测min、max及相邻越界；保存回读并验证行为</x:v>
      </x:c>
      <x:c r="M157" s="4" t="str">
        <x:v>ALG-34707</x:v>
      </x:c>
      <x:c r="N157" s="4" t="str">
        <x:v>未执行</x:v>
      </x:c>
      <x:c r="O157" s="12" t="str"/>
    </x:row>
    <x:row r="158" ht="32" customHeight="1">
      <x:c r="A158" s="9" t="str">
        <x:v>PAR-0154</x:v>
      </x:c>
      <x:c r="B158" s="9" t="str">
        <x:v>模板</x:v>
      </x:c>
      <x:c r="C158" s="9" t="str">
        <x:v>34707</x:v>
      </x:c>
      <x:c r="D158" s="9" t="str">
        <x:v>视觉语言大模型分析</x:v>
      </x:c>
      <x:c r="E158" s="9" t="str">
        <x:v>param.restrainTime</x:v>
      </x:c>
      <x:c r="F158" s="9" t="str">
        <x:v>静止目标去重时间(小时)</x:v>
      </x:c>
      <x:c r="G158" s="9" t="str">
        <x:v>bm1688,cv186x,x86</x:v>
      </x:c>
      <x:c r="H158" s="9" t="str">
        <x:v>6</x:v>
      </x:c>
      <x:c r="I158" s="9" t="str">
        <x:v>min=; max=; regex=/^([0-9]|[1][0-9]|[2][0-4])$/</x:v>
      </x:c>
      <x:c r="J158" s="9" t="str"/>
      <x:c r="K158" s="9" t="str">
        <x:v>静止目标去重时间，范围：1~24小时，默认：6小时。</x:v>
      </x:c>
      <x:c r="L158" s="9" t="str">
        <x:v>默认/合法替代/空/非法类型；按已确认范围测min、max及相邻越界；保存回读并验证行为</x:v>
      </x:c>
      <x:c r="M158" s="9" t="str">
        <x:v>ALG-34707</x:v>
      </x:c>
      <x:c r="N158" s="9" t="str">
        <x:v>未执行</x:v>
      </x:c>
      <x:c r="O158" s="12" t="str"/>
    </x:row>
    <x:row r="159" ht="32" customHeight="1">
      <x:c r="A159" s="4" t="str">
        <x:v>PAR-0155</x:v>
      </x:c>
      <x:c r="B159" s="4" t="str">
        <x:v>模板</x:v>
      </x:c>
      <x:c r="C159" s="4" t="str">
        <x:v>38873</x:v>
      </x:c>
      <x:c r="D159" s="4" t="str">
        <x:v>检测类算法</x:v>
      </x:c>
      <x:c r="E159" s="4" t="str">
        <x:v>aiParam.pedestrian.confidence</x:v>
      </x:c>
      <x:c r="F159" s="4" t="str">
        <x:v>pedestrian置信度</x:v>
      </x:c>
      <x:c r="G159" s="4" t="str">
        <x:v>bm1688,cv186x,x86</x:v>
      </x:c>
      <x:c r="H159" s="4" t="str"/>
      <x:c r="I159" s="4" t="str">
        <x:v>min=; max=; regex=</x:v>
      </x:c>
      <x:c r="J159" s="4" t="str"/>
      <x:c r="K159" s="4" t="str">
        <x:v>pedestrian置信度，范围：0.0~1.0，限小数点后3位。</x:v>
      </x:c>
      <x:c r="L159" s="4" t="str">
        <x:v>默认/合法替代/空/非法类型；按已确认范围测min、max及相邻越界；保存回读并验证行为</x:v>
      </x:c>
      <x:c r="M159" s="4" t="str">
        <x:v>ALG-38873</x:v>
      </x:c>
      <x:c r="N159" s="4" t="str">
        <x:v>未执行</x:v>
      </x:c>
      <x:c r="O159" s="12" t="str"/>
    </x:row>
    <x:row r="160" ht="32" customHeight="1">
      <x:c r="A160" s="9" t="str">
        <x:v>PAR-0156</x:v>
      </x:c>
      <x:c r="B160" s="9" t="str">
        <x:v>模板</x:v>
      </x:c>
      <x:c r="C160" s="9" t="str">
        <x:v>3</x:v>
      </x:c>
      <x:c r="D160" s="9" t="str">
        <x:v>区域入侵</x:v>
      </x:c>
      <x:c r="E160" s="9" t="str">
        <x:v>aiParam.pedestrian.confidence</x:v>
      </x:c>
      <x:c r="F160" s="9" t="str">
        <x:v>行人置信度</x:v>
      </x:c>
      <x:c r="G160" s="9" t="str">
        <x:v>bm1688,cv186x,x86</x:v>
      </x:c>
      <x:c r="H160" s="9" t="str"/>
      <x:c r="I160" s="9" t="str">
        <x:v>min=; max=; regex=</x:v>
      </x:c>
      <x:c r="J160" s="9" t="str"/>
      <x:c r="K160" s="9" t="str">
        <x:v>行人置信度，范围：0.0~1.0，限小数点后3位。</x:v>
      </x:c>
      <x:c r="L160" s="9" t="str">
        <x:v>默认/合法替代/空/非法类型；按已确认范围测min、max及相邻越界；保存回读并验证行为</x:v>
      </x:c>
      <x:c r="M160" s="9" t="str">
        <x:v>ALG-3</x:v>
      </x:c>
      <x:c r="N160" s="9" t="str">
        <x:v>未执行</x:v>
      </x:c>
      <x:c r="O160" s="12" t="str"/>
    </x:row>
    <x:row r="161" ht="32" customHeight="1">
      <x:c r="A161" s="4" t="str">
        <x:v>PAR-0157</x:v>
      </x:c>
      <x:c r="B161" s="4" t="str">
        <x:v>模板</x:v>
      </x:c>
      <x:c r="C161" s="4" t="str">
        <x:v>3</x:v>
      </x:c>
      <x:c r="D161" s="4" t="str">
        <x:v>区域入侵</x:v>
      </x:c>
      <x:c r="E161" s="4" t="str">
        <x:v>aiParam.pedestrian.confidenceConfig</x:v>
      </x:c>
      <x:c r="F161" s="4" t="str">
        <x:v>行人置信度偏移</x:v>
      </x:c>
      <x:c r="G161" s="4" t="str">
        <x:v>bm1688,cv186x,x86</x:v>
      </x:c>
      <x:c r="H161" s="4" t="str">
        <x:v>0,0</x:v>
      </x:c>
      <x:c r="I161" s="4" t="str">
        <x:v>min=; max=; regex=</x:v>
      </x:c>
      <x:c r="J161" s="4" t="str"/>
      <x:c r="K161" s="4" t="str">
        <x:v>行人置信度偏移，默认为严格阈值。可选严格阈值、推荐阈值。</x:v>
      </x:c>
      <x:c r="L161" s="4" t="str">
        <x:v>默认/合法替代/空/非法类型；按已确认范围测min、max及相邻越界；保存回读并验证行为</x:v>
      </x:c>
      <x:c r="M161" s="4" t="str">
        <x:v>ALG-3</x:v>
      </x:c>
      <x:c r="N161" s="4" t="str">
        <x:v>未执行</x:v>
      </x:c>
      <x:c r="O161" s="12" t="str"/>
    </x:row>
    <x:row r="162" ht="32" customHeight="1">
      <x:c r="A162" s="9" t="str">
        <x:v>PAR-0158</x:v>
      </x:c>
      <x:c r="B162" s="9" t="str">
        <x:v>模板</x:v>
      </x:c>
      <x:c r="C162" s="9" t="str">
        <x:v>3</x:v>
      </x:c>
      <x:c r="D162" s="9" t="str">
        <x:v>区域入侵</x:v>
      </x:c>
      <x:c r="E162" s="9" t="str">
        <x:v>aiParam.pedestrian.detPostion</x:v>
      </x:c>
      <x:c r="F162" s="9" t="str">
        <x:v>行人检测方式</x:v>
      </x:c>
      <x:c r="G162" s="9" t="str">
        <x:v>bm1688,cv186x,x86</x:v>
      </x:c>
      <x:c r="H162" s="9" t="str">
        <x:v>0</x:v>
      </x:c>
      <x:c r="I162" s="9" t="str">
        <x:v>枚举：0,1,2</x:v>
      </x:c>
      <x:c r="J162" s="9" t="str"/>
      <x:c r="K162" s="9" t="str">
        <x:v>检测方式：定义检测框中心点的位置。默认在底部。可选顶部、底部、中心。</x:v>
      </x:c>
      <x:c r="L162" s="9" t="str">
        <x:v>依次选每个枚举；非法值；保存刷新；触发依赖字段</x:v>
      </x:c>
      <x:c r="M162" s="9" t="str">
        <x:v>ALG-3</x:v>
      </x:c>
      <x:c r="N162" s="9" t="str">
        <x:v>未执行</x:v>
      </x:c>
      <x:c r="O162" s="12" t="str"/>
    </x:row>
    <x:row r="163" ht="32" customHeight="1">
      <x:c r="A163" s="4" t="str">
        <x:v>PAR-0159</x:v>
      </x:c>
      <x:c r="B163" s="4" t="str">
        <x:v>模板</x:v>
      </x:c>
      <x:c r="C163" s="4" t="str">
        <x:v>3</x:v>
      </x:c>
      <x:c r="D163" s="4" t="str">
        <x:v>区域入侵</x:v>
      </x:c>
      <x:c r="E163" s="4" t="str">
        <x:v>aiParam.1001003.trackDynamicMatch</x:v>
      </x:c>
      <x:c r="F163" s="4" t="str">
        <x:v>行人检测追踪半径</x:v>
      </x:c>
      <x:c r="G163" s="4" t="str">
        <x:v>bm1688,cv186x,x86</x:v>
      </x:c>
      <x:c r="H163" s="4" t="str">
        <x:v>2.3</x:v>
      </x:c>
      <x:c r="I163" s="4" t="str">
        <x:v>min=; max=; regex=</x:v>
      </x:c>
      <x:c r="J163" s="4" t="str"/>
      <x:c r="K163" s="4" t="str">
        <x:v>追踪半径，跟追踪帧数也有关系。范围：0~100，例如：2.3</x:v>
      </x:c>
      <x:c r="L163" s="4" t="str">
        <x:v>默认/合法替代/空/非法类型；按已确认范围测min、max及相邻越界；保存回读并验证行为</x:v>
      </x:c>
      <x:c r="M163" s="4" t="str">
        <x:v>ALG-3</x:v>
      </x:c>
      <x:c r="N163" s="4" t="str">
        <x:v>未执行</x:v>
      </x:c>
      <x:c r="O163" s="12" t="str"/>
    </x:row>
    <x:row r="164" ht="40" customHeight="1">
      <x:c r="A164" s="9" t="str">
        <x:v>PAR-0160</x:v>
      </x:c>
      <x:c r="B164" s="9" t="str">
        <x:v>模板</x:v>
      </x:c>
      <x:c r="C164" s="9" t="str">
        <x:v>3</x:v>
      </x:c>
      <x:c r="D164" s="9" t="str">
        <x:v>区域入侵</x:v>
      </x:c>
      <x:c r="E164" s="9" t="str">
        <x:v>filter.pedestrian.side.min</x:v>
      </x:c>
      <x:c r="F164" s="9" t="str">
        <x:v>最小行人尺寸</x:v>
      </x:c>
      <x:c r="G164" s="9" t="str">
        <x:v>bm1688,cv186x,x86</x:v>
      </x:c>
      <x:c r="H164" s="9" t="str">
        <x:v>60</x:v>
      </x:c>
      <x:c r="I164" s="9" t="str">
        <x:v>min=; max=; regex=/^(0|[1-9]|[1-9][0-9]|[1-9][0-9][0-9]|[1-9][0-9][0-9][0-9]|10000)$/</x:v>
      </x:c>
      <x:c r="J164" s="9" t="str"/>
      <x:c r="K164" s="9" t="str">
        <x:v>最小行人尺寸：行人抓拍照片的最小图像尺寸。如输入值为100，则最小行人尺寸为100*100像素。范围：10px~1000像素 默认：100像素。</x:v>
      </x:c>
      <x:c r="L164" s="9" t="str">
        <x:v>默认/合法替代/空/非法类型；按已确认范围测min、max及相邻越界；保存回读并验证行为</x:v>
      </x:c>
      <x:c r="M164" s="9" t="str">
        <x:v>ALG-3</x:v>
      </x:c>
      <x:c r="N164" s="9" t="str">
        <x:v>未执行</x:v>
      </x:c>
      <x:c r="O164" s="12" t="str"/>
    </x:row>
    <x:row r="165" ht="40" customHeight="1">
      <x:c r="A165" s="4" t="str">
        <x:v>PAR-0161</x:v>
      </x:c>
      <x:c r="B165" s="4" t="str">
        <x:v>模板</x:v>
      </x:c>
      <x:c r="C165" s="4" t="str">
        <x:v>3</x:v>
      </x:c>
      <x:c r="D165" s="4" t="str">
        <x:v>区域入侵</x:v>
      </x:c>
      <x:c r="E165" s="4" t="str">
        <x:v>param.targetAlarmInterval</x:v>
      </x:c>
      <x:c r="F165" s="4" t="str">
        <x:v>告警时间间隔（秒）</x:v>
      </x:c>
      <x:c r="G165" s="4" t="str">
        <x:v>bm1688,cv186x,x86</x:v>
      </x:c>
      <x:c r="H165" s="4" t="str">
        <x:v>60</x:v>
      </x:c>
      <x:c r="I165" s="4" t="str">
        <x:v>min=; max=; regex=/^([1-9]|[1-9][0-9]|[1-9][0-9][0-9]|[1-9][0-9][0-9][0-9]|[1-2][0-9][0-9][0-9][0-9]|[3][0-5][0-9][0-9][0-9]|36000)$/</x:v>
      </x:c>
      <x:c r="J165" s="4" t="str"/>
      <x:c r="K165" s="4" t="str">
        <x:v>告警时间间隔：2次告警事件的间隔。范围：1~36000秒，默认：60秒。</x:v>
      </x:c>
      <x:c r="L165" s="4" t="str">
        <x:v>默认/合法替代/空/非法类型；按已确认范围测min、max及相邻越界；保存回读并验证行为</x:v>
      </x:c>
      <x:c r="M165" s="4" t="str">
        <x:v>ALG-3</x:v>
      </x:c>
      <x:c r="N165" s="4" t="str">
        <x:v>未执行</x:v>
      </x:c>
      <x:c r="O165" s="12" t="str"/>
    </x:row>
    <x:row r="166" ht="32" customHeight="1">
      <x:c r="A166" s="9" t="str">
        <x:v>PAR-0162</x:v>
      </x:c>
      <x:c r="B166" s="9" t="str">
        <x:v>模板</x:v>
      </x:c>
      <x:c r="C166" s="9" t="str">
        <x:v>3</x:v>
      </x:c>
      <x:c r="D166" s="9" t="str">
        <x:v>区域入侵</x:v>
      </x:c>
      <x:c r="E166" s="9" t="str">
        <x:v>param.targetAlarmCount</x:v>
      </x:c>
      <x:c r="F166" s="9" t="str">
        <x:v>告警次数</x:v>
      </x:c>
      <x:c r="G166" s="9" t="str">
        <x:v>bm1688,cv186x,x86</x:v>
      </x:c>
      <x:c r="H166" s="9" t="str">
        <x:v>1</x:v>
      </x:c>
      <x:c r="I166" s="9" t="str">
        <x:v>min=; max=; regex=/^(0|[1-9]|[1-9][0-9]|100)$/</x:v>
      </x:c>
      <x:c r="J166" s="9" t="str"/>
      <x:c r="K166" s="9" t="str">
        <x:v>告警次数：范围：0-100，默认为1。0表示不限次数。</x:v>
      </x:c>
      <x:c r="L166" s="9" t="str">
        <x:v>默认/合法替代/空/非法类型；按已确认范围测min、max及相邻越界；保存回读并验证行为</x:v>
      </x:c>
      <x:c r="M166" s="9" t="str">
        <x:v>ALG-3</x:v>
      </x:c>
      <x:c r="N166" s="9" t="str">
        <x:v>未执行</x:v>
      </x:c>
      <x:c r="O166" s="12" t="str"/>
    </x:row>
    <x:row r="167" ht="40" customHeight="1">
      <x:c r="A167" s="4" t="str">
        <x:v>PAR-0163</x:v>
      </x:c>
      <x:c r="B167" s="4" t="str">
        <x:v>模板</x:v>
      </x:c>
      <x:c r="C167" s="4" t="str">
        <x:v>3</x:v>
      </x:c>
      <x:c r="D167" s="4" t="str">
        <x:v>区域入侵</x:v>
      </x:c>
      <x:c r="E167" s="4" t="str">
        <x:v>param.restrainSwitch</x:v>
      </x:c>
      <x:c r="F167" s="4" t="str">
        <x:v>静止目标去重</x:v>
      </x:c>
      <x:c r="G167" s="4" t="str">
        <x:v>bm1688,cv186x,x86</x:v>
      </x:c>
      <x:c r="H167" s="4" t="str">
        <x:v>0</x:v>
      </x:c>
      <x:c r="I167" s="4" t="str">
        <x:v>min=; max=; regex=/^[01]$/</x:v>
      </x:c>
      <x:c r="J167" s="4" t="str"/>
      <x:c r="K167" s="4" t="str">
        <x:v>静止目标去重：对于告警目标，开启此功能后，将进行目标静止状态检测，如判定为静止目标，则不会重复报警。</x:v>
      </x:c>
      <x:c r="L167" s="4" t="str">
        <x:v>默认/合法替代/空/非法类型；按已确认范围测min、max及相邻越界；保存回读并验证行为</x:v>
      </x:c>
      <x:c r="M167" s="4" t="str">
        <x:v>ALG-3</x:v>
      </x:c>
      <x:c r="N167" s="4" t="str">
        <x:v>未执行</x:v>
      </x:c>
      <x:c r="O167" s="12" t="str"/>
    </x:row>
    <x:row r="168" ht="32" customHeight="1">
      <x:c r="A168" s="9" t="str">
        <x:v>PAR-0164</x:v>
      </x:c>
      <x:c r="B168" s="9" t="str">
        <x:v>模板</x:v>
      </x:c>
      <x:c r="C168" s="9" t="str">
        <x:v>3</x:v>
      </x:c>
      <x:c r="D168" s="9" t="str">
        <x:v>区域入侵</x:v>
      </x:c>
      <x:c r="E168" s="9" t="str">
        <x:v>param.overlapRate</x:v>
      </x:c>
      <x:c r="F168" s="9" t="str">
        <x:v>静止目标重叠率</x:v>
      </x:c>
      <x:c r="G168" s="9" t="str">
        <x:v>bm1688,cv186x,x86</x:v>
      </x:c>
      <x:c r="H168" s="9" t="str">
        <x:v>0.2</x:v>
      </x:c>
      <x:c r="I168" s="9" t="str">
        <x:v>min=; max=; regex=/^(0(\.\d{1,3})?|1(\.0{1,3})?)$/</x:v>
      </x:c>
      <x:c r="J168" s="9" t="str">
        <x:v>{"key":"param.restrainSwitch","value":"1"}</x:v>
      </x:c>
      <x:c r="K168" s="9" t="str">
        <x:v>静止目标重叠率，范围：0.0~1.0，限小数点后3位，默认：0.2。</x:v>
      </x:c>
      <x:c r="L168" s="9" t="str">
        <x:v>默认/合法替代/空/非法类型；按已确认范围测min、max及相邻越界；保存回读并验证行为</x:v>
      </x:c>
      <x:c r="M168" s="9" t="str">
        <x:v>ALG-3</x:v>
      </x:c>
      <x:c r="N168" s="9" t="str">
        <x:v>未执行</x:v>
      </x:c>
      <x:c r="O168" s="12" t="str"/>
    </x:row>
    <x:row r="169" ht="32" customHeight="1">
      <x:c r="A169" s="4" t="str">
        <x:v>PAR-0165</x:v>
      </x:c>
      <x:c r="B169" s="4" t="str">
        <x:v>模板</x:v>
      </x:c>
      <x:c r="C169" s="4" t="str">
        <x:v>3</x:v>
      </x:c>
      <x:c r="D169" s="4" t="str">
        <x:v>区域入侵</x:v>
      </x:c>
      <x:c r="E169" s="4" t="str">
        <x:v>param.restrainTime</x:v>
      </x:c>
      <x:c r="F169" s="4" t="str">
        <x:v>静止目标去重时间(小时)</x:v>
      </x:c>
      <x:c r="G169" s="4" t="str">
        <x:v>bm1688,cv186x,x86</x:v>
      </x:c>
      <x:c r="H169" s="4" t="str">
        <x:v>6</x:v>
      </x:c>
      <x:c r="I169" s="4" t="str">
        <x:v>min=; max=; regex=/^([0-9]|[1][0-9]|[2][0-4])$/</x:v>
      </x:c>
      <x:c r="J169" s="4" t="str">
        <x:v>{"key":"param.restrainSwitch","value":"1"}</x:v>
      </x:c>
      <x:c r="K169" s="4" t="str">
        <x:v>静止目标去重时间，范围：1~24小时，默认：6小时。</x:v>
      </x:c>
      <x:c r="L169" s="4" t="str">
        <x:v>默认/合法替代/空/非法类型；按已确认范围测min、max及相邻越界；保存回读并验证行为</x:v>
      </x:c>
      <x:c r="M169" s="4" t="str">
        <x:v>ALG-3</x:v>
      </x:c>
      <x:c r="N169" s="4" t="str">
        <x:v>未执行</x:v>
      </x:c>
      <x:c r="O169" s="12" t="str"/>
    </x:row>
    <x:row r="170" ht="32" customHeight="1">
      <x:c r="A170" s="9" t="str">
        <x:v>PAR-0166</x:v>
      </x:c>
      <x:c r="B170" s="9" t="str">
        <x:v>模板</x:v>
      </x:c>
      <x:c r="C170" s="9" t="str">
        <x:v>3</x:v>
      </x:c>
      <x:c r="D170" s="9" t="str">
        <x:v>区域入侵</x:v>
      </x:c>
      <x:c r="E170" s="9" t="str">
        <x:v>param.overlayTrajectory</x:v>
      </x:c>
      <x:c r="F170" s="9" t="str">
        <x:v>全景图叠加轨迹</x:v>
      </x:c>
      <x:c r="G170" s="9" t="str">
        <x:v>bm1688,cv186x,x86</x:v>
      </x:c>
      <x:c r="H170" s="9" t="str">
        <x:v>0</x:v>
      </x:c>
      <x:c r="I170" s="9" t="str">
        <x:v>min=; max=; regex=/^[01]$/</x:v>
      </x:c>
      <x:c r="J170" s="9" t="str"/>
      <x:c r="K170" s="9" t="str">
        <x:v>打开后会在全景图上叠加目标运动轨迹</x:v>
      </x:c>
      <x:c r="L170" s="9" t="str">
        <x:v>默认/合法替代/空/非法类型；按已确认范围测min、max及相邻越界；保存回读并验证行为</x:v>
      </x:c>
      <x:c r="M170" s="9" t="str">
        <x:v>ALG-3</x:v>
      </x:c>
      <x:c r="N170" s="9" t="str">
        <x:v>未执行</x:v>
      </x:c>
      <x:c r="O170" s="12" t="str"/>
    </x:row>
    <x:row r="171" ht="32" customHeight="1">
      <x:c r="A171" s="4" t="str">
        <x:v>PAR-0167</x:v>
      </x:c>
      <x:c r="B171" s="4" t="str">
        <x:v>模板</x:v>
      </x:c>
      <x:c r="C171" s="4" t="str">
        <x:v>3</x:v>
      </x:c>
      <x:c r="D171" s="4" t="str">
        <x:v>区域入侵</x:v>
      </x:c>
      <x:c r="E171" s="4" t="str">
        <x:v>param.areaDuration</x:v>
      </x:c>
      <x:c r="F171" s="4" t="str">
        <x:v>检测时间</x:v>
      </x:c>
      <x:c r="G171" s="4" t="str">
        <x:v>bm1688,cv186x,x86</x:v>
      </x:c>
      <x:c r="H171" s="4" t="str">
        <x:v>20</x:v>
      </x:c>
      <x:c r="I171" s="4" t="str">
        <x:v>min=; max=; regex=</x:v>
      </x:c>
      <x:c r="J171" s="4" t="str"/>
      <x:c r="K171" s="4" t="str">
        <x:v>检测时间：范围：1-3600000，注意时间单位</x:v>
      </x:c>
      <x:c r="L171" s="4" t="str">
        <x:v>默认/合法替代/空/非法类型；按已确认范围测min、max及相邻越界；保存回读并验证行为</x:v>
      </x:c>
      <x:c r="M171" s="4" t="str">
        <x:v>ALG-3</x:v>
      </x:c>
      <x:c r="N171" s="4" t="str">
        <x:v>未执行</x:v>
      </x:c>
      <x:c r="O171" s="12" t="str"/>
    </x:row>
    <x:row r="172" ht="32" customHeight="1">
      <x:c r="A172" s="9" t="str">
        <x:v>PAR-0168</x:v>
      </x:c>
      <x:c r="B172" s="9" t="str">
        <x:v>模板</x:v>
      </x:c>
      <x:c r="C172" s="9" t="str">
        <x:v>3</x:v>
      </x:c>
      <x:c r="D172" s="9" t="str">
        <x:v>区域入侵</x:v>
      </x:c>
      <x:c r="E172" s="9" t="str">
        <x:v>param.areaDurationTimeType</x:v>
      </x:c>
      <x:c r="F172" s="9" t="str">
        <x:v>检测时间单位</x:v>
      </x:c>
      <x:c r="G172" s="9" t="str">
        <x:v>bm1688,cv186x,x86</x:v>
      </x:c>
      <x:c r="H172" s="9" t="str">
        <x:v>1000</x:v>
      </x:c>
      <x:c r="I172" s="9" t="str">
        <x:v>枚举：1,1000,60000,3600000</x:v>
      </x:c>
      <x:c r="J172" s="9" t="str"/>
      <x:c r="K172" s="9" t="str">
        <x:v>检测时间单位</x:v>
      </x:c>
      <x:c r="L172" s="9" t="str">
        <x:v>依次选每个枚举；非法值；保存刷新；触发依赖字段</x:v>
      </x:c>
      <x:c r="M172" s="9" t="str">
        <x:v>ALG-3</x:v>
      </x:c>
      <x:c r="N172" s="9" t="str">
        <x:v>未执行</x:v>
      </x:c>
      <x:c r="O172" s="12" t="str"/>
    </x:row>
    <x:row r="173" ht="32" customHeight="1">
      <x:c r="A173" s="4" t="str">
        <x:v>PAR-0169</x:v>
      </x:c>
      <x:c r="B173" s="4" t="str">
        <x:v>模板</x:v>
      </x:c>
      <x:c r="C173" s="4" t="str">
        <x:v>51</x:v>
      </x:c>
      <x:c r="D173" s="4" t="str">
        <x:v>区域人数统计</x:v>
      </x:c>
      <x:c r="E173" s="4" t="str">
        <x:v>aiParam.pedestrian.confidence</x:v>
      </x:c>
      <x:c r="F173" s="4" t="str">
        <x:v>行人置信度</x:v>
      </x:c>
      <x:c r="G173" s="4" t="str">
        <x:v>bm1688,cv186x,x86</x:v>
      </x:c>
      <x:c r="H173" s="4" t="str"/>
      <x:c r="I173" s="4" t="str">
        <x:v>min=; max=; regex=</x:v>
      </x:c>
      <x:c r="J173" s="4" t="str"/>
      <x:c r="K173" s="4" t="str">
        <x:v>行人置信度，范围：0.0~1.0，限小数点后3位。</x:v>
      </x:c>
      <x:c r="L173" s="4" t="str">
        <x:v>默认/合法替代/空/非法类型；按已确认范围测min、max及相邻越界；保存回读并验证行为</x:v>
      </x:c>
      <x:c r="M173" s="4" t="str">
        <x:v>ALG-51</x:v>
      </x:c>
      <x:c r="N173" s="4" t="str">
        <x:v>未执行</x:v>
      </x:c>
      <x:c r="O173" s="12" t="str"/>
    </x:row>
    <x:row r="174" ht="32" customHeight="1">
      <x:c r="A174" s="9" t="str">
        <x:v>PAR-0170</x:v>
      </x:c>
      <x:c r="B174" s="9" t="str">
        <x:v>模板</x:v>
      </x:c>
      <x:c r="C174" s="9" t="str">
        <x:v>51</x:v>
      </x:c>
      <x:c r="D174" s="9" t="str">
        <x:v>区域人数统计</x:v>
      </x:c>
      <x:c r="E174" s="9" t="str">
        <x:v>aiParam.pedestrian.confidenceConfig</x:v>
      </x:c>
      <x:c r="F174" s="9" t="str">
        <x:v>行人置信度偏移</x:v>
      </x:c>
      <x:c r="G174" s="9" t="str">
        <x:v>bm1688,cv186x,x86</x:v>
      </x:c>
      <x:c r="H174" s="9" t="str">
        <x:v>0,0</x:v>
      </x:c>
      <x:c r="I174" s="9" t="str">
        <x:v>min=; max=; regex=</x:v>
      </x:c>
      <x:c r="J174" s="9" t="str"/>
      <x:c r="K174" s="9" t="str">
        <x:v>行人置信度偏移，默认为严格阈值。可选严格阈值、推荐阈值。</x:v>
      </x:c>
      <x:c r="L174" s="9" t="str">
        <x:v>默认/合法替代/空/非法类型；按已确认范围测min、max及相邻越界；保存回读并验证行为</x:v>
      </x:c>
      <x:c r="M174" s="9" t="str">
        <x:v>ALG-51</x:v>
      </x:c>
      <x:c r="N174" s="9" t="str">
        <x:v>未执行</x:v>
      </x:c>
      <x:c r="O174" s="12" t="str"/>
    </x:row>
    <x:row r="175" ht="32" customHeight="1">
      <x:c r="A175" s="4" t="str">
        <x:v>PAR-0171</x:v>
      </x:c>
      <x:c r="B175" s="4" t="str">
        <x:v>模板</x:v>
      </x:c>
      <x:c r="C175" s="4" t="str">
        <x:v>51</x:v>
      </x:c>
      <x:c r="D175" s="4" t="str">
        <x:v>区域人数统计</x:v>
      </x:c>
      <x:c r="E175" s="4" t="str">
        <x:v>aiParam.pedestrian.detPostion</x:v>
      </x:c>
      <x:c r="F175" s="4" t="str">
        <x:v>行人检测方式</x:v>
      </x:c>
      <x:c r="G175" s="4" t="str">
        <x:v>bm1688,cv186x,x86</x:v>
      </x:c>
      <x:c r="H175" s="4" t="str">
        <x:v>1</x:v>
      </x:c>
      <x:c r="I175" s="4" t="str">
        <x:v>枚举：0,1,2</x:v>
      </x:c>
      <x:c r="J175" s="4" t="str"/>
      <x:c r="K175" s="4" t="str">
        <x:v>检测方式：定义检测框中心点的位置。默认在底部。可选顶部、底部、中心。</x:v>
      </x:c>
      <x:c r="L175" s="4" t="str">
        <x:v>依次选每个枚举；非法值；保存刷新；触发依赖字段</x:v>
      </x:c>
      <x:c r="M175" s="4" t="str">
        <x:v>ALG-51</x:v>
      </x:c>
      <x:c r="N175" s="4" t="str">
        <x:v>未执行</x:v>
      </x:c>
      <x:c r="O175" s="12" t="str"/>
    </x:row>
    <x:row r="176" ht="32" customHeight="1">
      <x:c r="A176" s="9" t="str">
        <x:v>PAR-0172</x:v>
      </x:c>
      <x:c r="B176" s="9" t="str">
        <x:v>模板</x:v>
      </x:c>
      <x:c r="C176" s="9" t="str">
        <x:v>51</x:v>
      </x:c>
      <x:c r="D176" s="9" t="str">
        <x:v>区域人数统计</x:v>
      </x:c>
      <x:c r="E176" s="9" t="str">
        <x:v>param.areaCalcDuration</x:v>
      </x:c>
      <x:c r="F176" s="9" t="str">
        <x:v>区域人数上报间隔</x:v>
      </x:c>
      <x:c r="G176" s="9" t="str">
        <x:v>bm1688,cv186x,x86</x:v>
      </x:c>
      <x:c r="H176" s="9" t="str">
        <x:v>5</x:v>
      </x:c>
      <x:c r="I176" s="9" t="str">
        <x:v>min=; max=; regex=</x:v>
      </x:c>
      <x:c r="J176" s="9" t="str"/>
      <x:c r="K176" s="9" t="str">
        <x:v>检测时间：范围：1-3600000，注意时间单位</x:v>
      </x:c>
      <x:c r="L176" s="9" t="str">
        <x:v>默认/合法替代/空/非法类型；按已确认范围测min、max及相邻越界；保存回读并验证行为</x:v>
      </x:c>
      <x:c r="M176" s="9" t="str">
        <x:v>ALG-51</x:v>
      </x:c>
      <x:c r="N176" s="9" t="str">
        <x:v>未执行</x:v>
      </x:c>
      <x:c r="O176" s="12" t="str"/>
    </x:row>
    <x:row r="177" ht="32" customHeight="1">
      <x:c r="A177" s="4" t="str">
        <x:v>PAR-0173</x:v>
      </x:c>
      <x:c r="B177" s="4" t="str">
        <x:v>模板</x:v>
      </x:c>
      <x:c r="C177" s="4" t="str">
        <x:v>51</x:v>
      </x:c>
      <x:c r="D177" s="4" t="str">
        <x:v>区域人数统计</x:v>
      </x:c>
      <x:c r="E177" s="4" t="str">
        <x:v>param.areaCalcDurationTimeType</x:v>
      </x:c>
      <x:c r="F177" s="4" t="str">
        <x:v>检测时间单位</x:v>
      </x:c>
      <x:c r="G177" s="4" t="str">
        <x:v>bm1688,cv186x,x86</x:v>
      </x:c>
      <x:c r="H177" s="4" t="str">
        <x:v>1000</x:v>
      </x:c>
      <x:c r="I177" s="4" t="str">
        <x:v>枚举：1,1000,60000,3600000</x:v>
      </x:c>
      <x:c r="J177" s="4" t="str"/>
      <x:c r="K177" s="4" t="str">
        <x:v>检测时间单位</x:v>
      </x:c>
      <x:c r="L177" s="4" t="str">
        <x:v>依次选每个枚举；非法值；保存刷新；触发依赖字段</x:v>
      </x:c>
      <x:c r="M177" s="4" t="str">
        <x:v>ALG-51</x:v>
      </x:c>
      <x:c r="N177" s="4" t="str">
        <x:v>未执行</x:v>
      </x:c>
      <x:c r="O177" s="12" t="str"/>
    </x:row>
    <x:row r="178" ht="32" customHeight="1">
      <x:c r="A178" s="9" t="str">
        <x:v>PAR-0174</x:v>
      </x:c>
      <x:c r="B178" s="9" t="str">
        <x:v>模板</x:v>
      </x:c>
      <x:c r="C178" s="9" t="str">
        <x:v>51</x:v>
      </x:c>
      <x:c r="D178" s="9" t="str">
        <x:v>区域人数统计</x:v>
      </x:c>
      <x:c r="E178" s="9" t="str">
        <x:v>param.targetCalcType</x:v>
      </x:c>
      <x:c r="F178" s="9" t="str">
        <x:v>目标统计方式</x:v>
      </x:c>
      <x:c r="G178" s="9" t="str">
        <x:v>bm1688,cv186x,x86</x:v>
      </x:c>
      <x:c r="H178" s="9" t="str">
        <x:v>0</x:v>
      </x:c>
      <x:c r="I178" s="9" t="str">
        <x:v>枚举：0,1</x:v>
      </x:c>
      <x:c r="J178" s="9" t="str"/>
      <x:c r="K178" s="9" t="str">
        <x:v>目标统计方式</x:v>
      </x:c>
      <x:c r="L178" s="9" t="str">
        <x:v>依次选每个枚举；非法值；保存刷新；触发依赖字段</x:v>
      </x:c>
      <x:c r="M178" s="9" t="str">
        <x:v>ALG-51</x:v>
      </x:c>
      <x:c r="N178" s="9" t="str">
        <x:v>未执行</x:v>
      </x:c>
      <x:c r="O178" s="12" t="str"/>
    </x:row>
    <x:row r="179" ht="32" customHeight="1">
      <x:c r="A179" s="4" t="str">
        <x:v>PAR-0175</x:v>
      </x:c>
      <x:c r="B179" s="4" t="str">
        <x:v>模板</x:v>
      </x:c>
      <x:c r="C179" s="4" t="str">
        <x:v>51</x:v>
      </x:c>
      <x:c r="D179" s="4" t="str">
        <x:v>区域人数统计</x:v>
      </x:c>
      <x:c r="E179" s="4" t="str">
        <x:v>param.videoRepeatCount</x:v>
      </x:c>
      <x:c r="F179" s="4" t="str">
        <x:v>离线视频播放次数</x:v>
      </x:c>
      <x:c r="G179" s="4" t="str">
        <x:v>bm1688,cv186x,x86</x:v>
      </x:c>
      <x:c r="H179" s="4" t="str">
        <x:v>1</x:v>
      </x:c>
      <x:c r="I179" s="4" t="str">
        <x:v>min=; max=; regex=</x:v>
      </x:c>
      <x:c r="J179" s="4" t="str"/>
      <x:c r="K179" s="4" t="str">
        <x:v>离线视频播放次数：0 表示无限循环，1-100 表示总播放次数。</x:v>
      </x:c>
      <x:c r="L179" s="4" t="str">
        <x:v>默认/合法替代/空/非法类型；按已确认范围测min、max及相邻越界；保存回读并验证行为</x:v>
      </x:c>
      <x:c r="M179" s="4" t="str">
        <x:v>ALG-51</x:v>
      </x:c>
      <x:c r="N179" s="4" t="str">
        <x:v>未执行</x:v>
      </x:c>
      <x:c r="O179" s="12" t="str"/>
    </x:row>
    <x:row r="180" ht="40" customHeight="1">
      <x:c r="A180" s="9" t="str">
        <x:v>PAR-0176</x:v>
      </x:c>
      <x:c r="B180" s="9" t="str">
        <x:v>模板</x:v>
      </x:c>
      <x:c r="C180" s="9" t="str">
        <x:v>51</x:v>
      </x:c>
      <x:c r="D180" s="9" t="str">
        <x:v>区域人数统计</x:v>
      </x:c>
      <x:c r="E180" s="9" t="str">
        <x:v>param.videoReadFps</x:v>
      </x:c>
      <x:c r="F180" s="9" t="str">
        <x:v>离线视频播放取帧帧率</x:v>
      </x:c>
      <x:c r="G180" s="9" t="str">
        <x:v>bm1688,cv186x,x86</x:v>
      </x:c>
      <x:c r="H180" s="9" t="str">
        <x:v>-1</x:v>
      </x:c>
      <x:c r="I180" s="9" t="str">
        <x:v>min=; max=; regex=</x:v>
      </x:c>
      <x:c r="J180" s="9" t="str"/>
      <x:c r="K180" s="9" t="str">
        <x:v>离线视频有不正常帧速现象，指定该参数可以强制指定帧率。&lt;0 不强制，&gt;=0 视频取帧时强制帧率，默认：-1全帧。</x:v>
      </x:c>
      <x:c r="L180" s="9" t="str">
        <x:v>默认/合法替代/空/非法类型；按已确认范围测min、max及相邻越界；保存回读并验证行为</x:v>
      </x:c>
      <x:c r="M180" s="9" t="str">
        <x:v>ALG-51</x:v>
      </x:c>
      <x:c r="N180" s="9" t="str">
        <x:v>未执行</x:v>
      </x:c>
      <x:c r="O180" s="12" t="str"/>
    </x:row>
    <x:row r="181" ht="40" customHeight="1">
      <x:c r="A181" s="4" t="str">
        <x:v>PAR-0177</x:v>
      </x:c>
      <x:c r="B181" s="4" t="str">
        <x:v>模板</x:v>
      </x:c>
      <x:c r="C181" s="4" t="str">
        <x:v>51</x:v>
      </x:c>
      <x:c r="D181" s="4" t="str">
        <x:v>区域人数统计</x:v>
      </x:c>
      <x:c r="E181" s="4" t="str">
        <x:v>param.restrainSwitch</x:v>
      </x:c>
      <x:c r="F181" s="4" t="str">
        <x:v>静止目标去重</x:v>
      </x:c>
      <x:c r="G181" s="4" t="str">
        <x:v>bm1688,cv186x,x86</x:v>
      </x:c>
      <x:c r="H181" s="4" t="str">
        <x:v>1</x:v>
      </x:c>
      <x:c r="I181" s="4" t="str">
        <x:v>min=; max=; regex=/^[01]$/</x:v>
      </x:c>
      <x:c r="J181" s="4" t="str"/>
      <x:c r="K181" s="4" t="str">
        <x:v>静止目标去重：对于告警目标，开启此功能后，将进行目标静止状态检测，如判定为静止目标，则不会重复报警。</x:v>
      </x:c>
      <x:c r="L181" s="4" t="str">
        <x:v>默认/合法替代/空/非法类型；按已确认范围测min、max及相邻越界；保存回读并验证行为</x:v>
      </x:c>
      <x:c r="M181" s="4" t="str">
        <x:v>ALG-51</x:v>
      </x:c>
      <x:c r="N181" s="4" t="str">
        <x:v>未执行</x:v>
      </x:c>
      <x:c r="O181" s="12" t="str"/>
    </x:row>
    <x:row r="182" ht="32" customHeight="1">
      <x:c r="A182" s="9" t="str">
        <x:v>PAR-0178</x:v>
      </x:c>
      <x:c r="B182" s="9" t="str">
        <x:v>模板</x:v>
      </x:c>
      <x:c r="C182" s="9" t="str">
        <x:v>51</x:v>
      </x:c>
      <x:c r="D182" s="9" t="str">
        <x:v>区域人数统计</x:v>
      </x:c>
      <x:c r="E182" s="9" t="str">
        <x:v>param.overlapRate</x:v>
      </x:c>
      <x:c r="F182" s="9" t="str">
        <x:v>静止目标重叠率</x:v>
      </x:c>
      <x:c r="G182" s="9" t="str">
        <x:v>bm1688,cv186x,x86</x:v>
      </x:c>
      <x:c r="H182" s="9" t="str">
        <x:v>0.2</x:v>
      </x:c>
      <x:c r="I182" s="9" t="str">
        <x:v>min=; max=; regex=</x:v>
      </x:c>
      <x:c r="J182" s="9" t="str">
        <x:v>{"key":"param.restrainSwitch","value":"1"}</x:v>
      </x:c>
      <x:c r="K182" s="9" t="str">
        <x:v>静止目标重叠率，范围：0.0~1.0，限小数点后3位，默认：0.2。</x:v>
      </x:c>
      <x:c r="L182" s="9" t="str">
        <x:v>默认/合法替代/空/非法类型；按已确认范围测min、max及相邻越界；保存回读并验证行为</x:v>
      </x:c>
      <x:c r="M182" s="9" t="str">
        <x:v>ALG-51</x:v>
      </x:c>
      <x:c r="N182" s="9" t="str">
        <x:v>未执行</x:v>
      </x:c>
      <x:c r="O182" s="12" t="str"/>
    </x:row>
    <x:row r="183" ht="32" customHeight="1">
      <x:c r="A183" s="4" t="str">
        <x:v>PAR-0179</x:v>
      </x:c>
      <x:c r="B183" s="4" t="str">
        <x:v>模板</x:v>
      </x:c>
      <x:c r="C183" s="4" t="str">
        <x:v>51</x:v>
      </x:c>
      <x:c r="D183" s="4" t="str">
        <x:v>区域人数统计</x:v>
      </x:c>
      <x:c r="E183" s="4" t="str">
        <x:v>param.restrainTime</x:v>
      </x:c>
      <x:c r="F183" s="4" t="str">
        <x:v>静止目标去重时间(小时)</x:v>
      </x:c>
      <x:c r="G183" s="4" t="str">
        <x:v>bm1688,cv186x,x86</x:v>
      </x:c>
      <x:c r="H183" s="4" t="str">
        <x:v>6</x:v>
      </x:c>
      <x:c r="I183" s="4" t="str">
        <x:v>min=; max=; regex=/^([0-9]|[1][0-9]|[2][0-4])$/</x:v>
      </x:c>
      <x:c r="J183" s="4" t="str">
        <x:v>{"key":"param.restrainSwitch","value":"1"}</x:v>
      </x:c>
      <x:c r="K183" s="4" t="str">
        <x:v>静止目标去重时间，范围：1~24小时，默认：6小时。</x:v>
      </x:c>
      <x:c r="L183" s="4" t="str">
        <x:v>默认/合法替代/空/非法类型；按已确认范围测min、max及相邻越界；保存回读并验证行为</x:v>
      </x:c>
      <x:c r="M183" s="4" t="str">
        <x:v>ALG-51</x:v>
      </x:c>
      <x:c r="N183" s="4" t="str">
        <x:v>未执行</x:v>
      </x:c>
      <x:c r="O183" s="12" t="str"/>
    </x:row>
    <x:row r="184" ht="32" customHeight="1">
      <x:c r="A184" s="9" t="str">
        <x:v>PAR-0180</x:v>
      </x:c>
      <x:c r="B184" s="9" t="str">
        <x:v>模板</x:v>
      </x:c>
      <x:c r="C184" s="9" t="str">
        <x:v>57</x:v>
      </x:c>
      <x:c r="D184" s="9" t="str">
        <x:v>绊线检测</x:v>
      </x:c>
      <x:c r="E184" s="9" t="str">
        <x:v>aiParam.pedestrian.confidence</x:v>
      </x:c>
      <x:c r="F184" s="9" t="str">
        <x:v>行人置信度</x:v>
      </x:c>
      <x:c r="G184" s="9" t="str">
        <x:v>bm1688,cv186x,x86</x:v>
      </x:c>
      <x:c r="H184" s="9" t="str"/>
      <x:c r="I184" s="9" t="str">
        <x:v>min=; max=; regex=</x:v>
      </x:c>
      <x:c r="J184" s="9" t="str"/>
      <x:c r="K184" s="9" t="str">
        <x:v>行人置信度，范围：0.0~1.0，限小数点后3位。</x:v>
      </x:c>
      <x:c r="L184" s="9" t="str">
        <x:v>默认/合法替代/空/非法类型；按已确认范围测min、max及相邻越界；保存回读并验证行为</x:v>
      </x:c>
      <x:c r="M184" s="9" t="str">
        <x:v>ALG-57</x:v>
      </x:c>
      <x:c r="N184" s="9" t="str">
        <x:v>未执行</x:v>
      </x:c>
      <x:c r="O184" s="12" t="str"/>
    </x:row>
    <x:row r="185" ht="32" customHeight="1">
      <x:c r="A185" s="4" t="str">
        <x:v>PAR-0181</x:v>
      </x:c>
      <x:c r="B185" s="4" t="str">
        <x:v>模板</x:v>
      </x:c>
      <x:c r="C185" s="4" t="str">
        <x:v>57</x:v>
      </x:c>
      <x:c r="D185" s="4" t="str">
        <x:v>绊线检测</x:v>
      </x:c>
      <x:c r="E185" s="4" t="str">
        <x:v>aiParam.pedestrian.confidenceConfig</x:v>
      </x:c>
      <x:c r="F185" s="4" t="str">
        <x:v>行人置信度偏移</x:v>
      </x:c>
      <x:c r="G185" s="4" t="str">
        <x:v>bm1688,cv186x,x86</x:v>
      </x:c>
      <x:c r="H185" s="4" t="str">
        <x:v>0,0</x:v>
      </x:c>
      <x:c r="I185" s="4" t="str">
        <x:v>min=; max=; regex=</x:v>
      </x:c>
      <x:c r="J185" s="4" t="str"/>
      <x:c r="K185" s="4" t="str">
        <x:v>行人置信度偏移，默认为严格阈值。可选严格阈值、推荐阈值。</x:v>
      </x:c>
      <x:c r="L185" s="4" t="str">
        <x:v>默认/合法替代/空/非法类型；按已确认范围测min、max及相邻越界；保存回读并验证行为</x:v>
      </x:c>
      <x:c r="M185" s="4" t="str">
        <x:v>ALG-57</x:v>
      </x:c>
      <x:c r="N185" s="4" t="str">
        <x:v>未执行</x:v>
      </x:c>
      <x:c r="O185" s="12" t="str"/>
    </x:row>
    <x:row r="186" ht="32" customHeight="1">
      <x:c r="A186" s="9" t="str">
        <x:v>PAR-0182</x:v>
      </x:c>
      <x:c r="B186" s="9" t="str">
        <x:v>模板</x:v>
      </x:c>
      <x:c r="C186" s="9" t="str">
        <x:v>57</x:v>
      </x:c>
      <x:c r="D186" s="9" t="str">
        <x:v>绊线检测</x:v>
      </x:c>
      <x:c r="E186" s="9" t="str">
        <x:v>aiParam.pedestrian.detPostion</x:v>
      </x:c>
      <x:c r="F186" s="9" t="str">
        <x:v>行人检测方式</x:v>
      </x:c>
      <x:c r="G186" s="9" t="str">
        <x:v>bm1688,cv186x,x86</x:v>
      </x:c>
      <x:c r="H186" s="9" t="str">
        <x:v>0</x:v>
      </x:c>
      <x:c r="I186" s="9" t="str">
        <x:v>枚举：0,1,2</x:v>
      </x:c>
      <x:c r="J186" s="9" t="str"/>
      <x:c r="K186" s="9" t="str">
        <x:v>检测方式：定义检测框中心点的位置。默认在底部。可选顶部、底部、中心。</x:v>
      </x:c>
      <x:c r="L186" s="9" t="str">
        <x:v>依次选每个枚举；非法值；保存刷新；触发依赖字段</x:v>
      </x:c>
      <x:c r="M186" s="9" t="str">
        <x:v>ALG-57</x:v>
      </x:c>
      <x:c r="N186" s="9" t="str">
        <x:v>未执行</x:v>
      </x:c>
      <x:c r="O186" s="12" t="str"/>
    </x:row>
    <x:row r="187" ht="32" customHeight="1">
      <x:c r="A187" s="4" t="str">
        <x:v>PAR-0183</x:v>
      </x:c>
      <x:c r="B187" s="4" t="str">
        <x:v>模板</x:v>
      </x:c>
      <x:c r="C187" s="4" t="str">
        <x:v>57</x:v>
      </x:c>
      <x:c r="D187" s="4" t="str">
        <x:v>绊线检测</x:v>
      </x:c>
      <x:c r="E187" s="4" t="str">
        <x:v>aiParam.1001003.trackDynamicMatch</x:v>
      </x:c>
      <x:c r="F187" s="4" t="str">
        <x:v>行人检测追踪半径</x:v>
      </x:c>
      <x:c r="G187" s="4" t="str">
        <x:v>bm1688,cv186x,x86</x:v>
      </x:c>
      <x:c r="H187" s="4" t="str">
        <x:v>2.3</x:v>
      </x:c>
      <x:c r="I187" s="4" t="str">
        <x:v>min=; max=; regex=</x:v>
      </x:c>
      <x:c r="J187" s="4" t="str"/>
      <x:c r="K187" s="4" t="str">
        <x:v>追踪半径，跟追踪帧数也有关系。范围：0~100，例如：2.3</x:v>
      </x:c>
      <x:c r="L187" s="4" t="str">
        <x:v>默认/合法替代/空/非法类型；按已确认范围测min、max及相邻越界；保存回读并验证行为</x:v>
      </x:c>
      <x:c r="M187" s="4" t="str">
        <x:v>ALG-57</x:v>
      </x:c>
      <x:c r="N187" s="4" t="str">
        <x:v>未执行</x:v>
      </x:c>
      <x:c r="O187" s="12" t="str"/>
    </x:row>
    <x:row r="188" ht="40" customHeight="1">
      <x:c r="A188" s="9" t="str">
        <x:v>PAR-0184</x:v>
      </x:c>
      <x:c r="B188" s="9" t="str">
        <x:v>模板</x:v>
      </x:c>
      <x:c r="C188" s="9" t="str">
        <x:v>57</x:v>
      </x:c>
      <x:c r="D188" s="9" t="str">
        <x:v>绊线检测</x:v>
      </x:c>
      <x:c r="E188" s="9" t="str">
        <x:v>filter.pedestrian.side.min</x:v>
      </x:c>
      <x:c r="F188" s="9" t="str">
        <x:v>最小行人尺寸</x:v>
      </x:c>
      <x:c r="G188" s="9" t="str">
        <x:v>bm1688,cv186x,x86</x:v>
      </x:c>
      <x:c r="H188" s="9" t="str">
        <x:v>60</x:v>
      </x:c>
      <x:c r="I188" s="9" t="str">
        <x:v>min=; max=; regex=/^(0|[1-9]|[1-9][0-9]|[1-9][0-9][0-9]|[1-9][0-9][0-9][0-9]|10000)$/</x:v>
      </x:c>
      <x:c r="J188" s="9" t="str"/>
      <x:c r="K188" s="9" t="str">
        <x:v>最小行人尺寸：行人抓拍照片的最小图像尺寸。如输入值为100，则最小行人尺寸为100*100像素。范围：10px~1000像素 默认：100像素。</x:v>
      </x:c>
      <x:c r="L188" s="9" t="str">
        <x:v>默认/合法替代/空/非法类型；按已确认范围测min、max及相邻越界；保存回读并验证行为</x:v>
      </x:c>
      <x:c r="M188" s="9" t="str">
        <x:v>ALG-57</x:v>
      </x:c>
      <x:c r="N188" s="9" t="str">
        <x:v>未执行</x:v>
      </x:c>
      <x:c r="O188" s="12" t="str"/>
    </x:row>
    <x:row r="189" ht="32" customHeight="1">
      <x:c r="A189" s="4" t="str">
        <x:v>PAR-0185</x:v>
      </x:c>
      <x:c r="B189" s="4" t="str">
        <x:v>模板</x:v>
      </x:c>
      <x:c r="C189" s="4" t="str">
        <x:v>57</x:v>
      </x:c>
      <x:c r="D189" s="4" t="str">
        <x:v>绊线检测</x:v>
      </x:c>
      <x:c r="E189" s="4" t="str">
        <x:v>param.trippingWireType</x:v>
      </x:c>
      <x:c r="F189" s="4" t="str">
        <x:v>绊线类型</x:v>
      </x:c>
      <x:c r="G189" s="4" t="str">
        <x:v>bm1688,cv186x,x86</x:v>
      </x:c>
      <x:c r="H189" s="4" t="str">
        <x:v>1</x:v>
      </x:c>
      <x:c r="I189" s="4" t="str">
        <x:v>枚举：1,2</x:v>
      </x:c>
      <x:c r="J189" s="4" t="str"/>
      <x:c r="K189" s="4" t="str">
        <x:v>告警条件：目标过线的数量</x:v>
      </x:c>
      <x:c r="L189" s="4" t="str">
        <x:v>依次选每个枚举；非法值；保存刷新；触发依赖字段</x:v>
      </x:c>
      <x:c r="M189" s="4" t="str">
        <x:v>ALG-57</x:v>
      </x:c>
      <x:c r="N189" s="4" t="str">
        <x:v>未执行</x:v>
      </x:c>
      <x:c r="O189" s="12" t="str"/>
    </x:row>
    <x:row r="190" ht="40" customHeight="1">
      <x:c r="A190" s="9" t="str">
        <x:v>PAR-0186</x:v>
      </x:c>
      <x:c r="B190" s="9" t="str">
        <x:v>模板</x:v>
      </x:c>
      <x:c r="C190" s="9" t="str">
        <x:v>57</x:v>
      </x:c>
      <x:c r="D190" s="9" t="str">
        <x:v>绊线检测</x:v>
      </x:c>
      <x:c r="E190" s="9" t="str">
        <x:v>param.targetAlarmInterval</x:v>
      </x:c>
      <x:c r="F190" s="9" t="str">
        <x:v>告警时间间隔（秒）</x:v>
      </x:c>
      <x:c r="G190" s="9" t="str">
        <x:v>bm1688,cv186x,x86</x:v>
      </x:c>
      <x:c r="H190" s="9" t="str">
        <x:v>60</x:v>
      </x:c>
      <x:c r="I190" s="9" t="str">
        <x:v>min=; max=; regex=/^([1-9]|[1-9][0-9]|[1-9][0-9][0-9]|[1-9][0-9][0-9][0-9]|[1-2][0-9][0-9][0-9][0-9]|[3][0-5][0-9][0-9][0-9]|36000)$/</x:v>
      </x:c>
      <x:c r="J190" s="9" t="str"/>
      <x:c r="K190" s="9" t="str">
        <x:v>告警时间间隔：2次告警事件的间隔。范围：1~36000秒，默认：60秒。</x:v>
      </x:c>
      <x:c r="L190" s="9" t="str">
        <x:v>默认/合法替代/空/非法类型；按已确认范围测min、max及相邻越界；保存回读并验证行为</x:v>
      </x:c>
      <x:c r="M190" s="9" t="str">
        <x:v>ALG-57</x:v>
      </x:c>
      <x:c r="N190" s="9" t="str">
        <x:v>未执行</x:v>
      </x:c>
      <x:c r="O190" s="12" t="str"/>
    </x:row>
    <x:row r="191" ht="32" customHeight="1">
      <x:c r="A191" s="4" t="str">
        <x:v>PAR-0187</x:v>
      </x:c>
      <x:c r="B191" s="4" t="str">
        <x:v>模板</x:v>
      </x:c>
      <x:c r="C191" s="4" t="str">
        <x:v>57</x:v>
      </x:c>
      <x:c r="D191" s="4" t="str">
        <x:v>绊线检测</x:v>
      </x:c>
      <x:c r="E191" s="4" t="str">
        <x:v>param.targetAlarmCount</x:v>
      </x:c>
      <x:c r="F191" s="4" t="str">
        <x:v>告警次数</x:v>
      </x:c>
      <x:c r="G191" s="4" t="str">
        <x:v>bm1688,cv186x,x86</x:v>
      </x:c>
      <x:c r="H191" s="4" t="str">
        <x:v>1</x:v>
      </x:c>
      <x:c r="I191" s="4" t="str">
        <x:v>min=; max=; regex=/^(0|[1-9]|[1-9][0-9]|100)$/</x:v>
      </x:c>
      <x:c r="J191" s="4" t="str"/>
      <x:c r="K191" s="4" t="str">
        <x:v>告警次数：范围：0-100，默认为1。0表示不限次数。</x:v>
      </x:c>
      <x:c r="L191" s="4" t="str">
        <x:v>默认/合法替代/空/非法类型；按已确认范围测min、max及相邻越界；保存回读并验证行为</x:v>
      </x:c>
      <x:c r="M191" s="4" t="str">
        <x:v>ALG-57</x:v>
      </x:c>
      <x:c r="N191" s="4" t="str">
        <x:v>未执行</x:v>
      </x:c>
      <x:c r="O191" s="12" t="str"/>
    </x:row>
    <x:row r="192" ht="40" customHeight="1">
      <x:c r="A192" s="9" t="str">
        <x:v>PAR-0188</x:v>
      </x:c>
      <x:c r="B192" s="9" t="str">
        <x:v>模板</x:v>
      </x:c>
      <x:c r="C192" s="9" t="str">
        <x:v>57</x:v>
      </x:c>
      <x:c r="D192" s="9" t="str">
        <x:v>绊线检测</x:v>
      </x:c>
      <x:c r="E192" s="9" t="str">
        <x:v>param.restrainSwitch</x:v>
      </x:c>
      <x:c r="F192" s="9" t="str">
        <x:v>静止目标去重</x:v>
      </x:c>
      <x:c r="G192" s="9" t="str">
        <x:v>bm1688,cv186x,x86</x:v>
      </x:c>
      <x:c r="H192" s="9" t="str">
        <x:v>0</x:v>
      </x:c>
      <x:c r="I192" s="9" t="str">
        <x:v>min=; max=; regex=/^[01]$/</x:v>
      </x:c>
      <x:c r="J192" s="9" t="str"/>
      <x:c r="K192" s="9" t="str">
        <x:v>静止目标去重：对于告警目标，开启此功能后，将进行目标静止状态检测，如判定为静止目标，则不会重复报警。</x:v>
      </x:c>
      <x:c r="L192" s="9" t="str">
        <x:v>默认/合法替代/空/非法类型；按已确认范围测min、max及相邻越界；保存回读并验证行为</x:v>
      </x:c>
      <x:c r="M192" s="9" t="str">
        <x:v>ALG-57</x:v>
      </x:c>
      <x:c r="N192" s="9" t="str">
        <x:v>未执行</x:v>
      </x:c>
      <x:c r="O192" s="12" t="str"/>
    </x:row>
    <x:row r="193" ht="32" customHeight="1">
      <x:c r="A193" s="4" t="str">
        <x:v>PAR-0189</x:v>
      </x:c>
      <x:c r="B193" s="4" t="str">
        <x:v>模板</x:v>
      </x:c>
      <x:c r="C193" s="4" t="str">
        <x:v>57</x:v>
      </x:c>
      <x:c r="D193" s="4" t="str">
        <x:v>绊线检测</x:v>
      </x:c>
      <x:c r="E193" s="4" t="str">
        <x:v>param.overlapRate</x:v>
      </x:c>
      <x:c r="F193" s="4" t="str">
        <x:v>静止目标重叠率</x:v>
      </x:c>
      <x:c r="G193" s="4" t="str">
        <x:v>bm1688,cv186x,x86</x:v>
      </x:c>
      <x:c r="H193" s="4" t="str">
        <x:v>0.2</x:v>
      </x:c>
      <x:c r="I193" s="4" t="str">
        <x:v>min=; max=; regex=/^(0(\.\d{1,3})?|1(\.0{1,3})?)$/</x:v>
      </x:c>
      <x:c r="J193" s="4" t="str">
        <x:v>{"key":"param.restrainSwitch","value":"1"}</x:v>
      </x:c>
      <x:c r="K193" s="4" t="str">
        <x:v>静止目标重叠率，范围：0.0~1.0，限小数点后3位，默认：0.2。</x:v>
      </x:c>
      <x:c r="L193" s="4" t="str">
        <x:v>默认/合法替代/空/非法类型；按已确认范围测min、max及相邻越界；保存回读并验证行为</x:v>
      </x:c>
      <x:c r="M193" s="4" t="str">
        <x:v>ALG-57</x:v>
      </x:c>
      <x:c r="N193" s="4" t="str">
        <x:v>未执行</x:v>
      </x:c>
      <x:c r="O193" s="12" t="str"/>
    </x:row>
    <x:row r="194" ht="32" customHeight="1">
      <x:c r="A194" s="9" t="str">
        <x:v>PAR-0190</x:v>
      </x:c>
      <x:c r="B194" s="9" t="str">
        <x:v>模板</x:v>
      </x:c>
      <x:c r="C194" s="9" t="str">
        <x:v>57</x:v>
      </x:c>
      <x:c r="D194" s="9" t="str">
        <x:v>绊线检测</x:v>
      </x:c>
      <x:c r="E194" s="9" t="str">
        <x:v>param.restrainTime</x:v>
      </x:c>
      <x:c r="F194" s="9" t="str">
        <x:v>静止目标去重时间(小时)</x:v>
      </x:c>
      <x:c r="G194" s="9" t="str">
        <x:v>bm1688,cv186x,x86</x:v>
      </x:c>
      <x:c r="H194" s="9" t="str">
        <x:v>6</x:v>
      </x:c>
      <x:c r="I194" s="9" t="str">
        <x:v>min=; max=; regex=/^([0-9]|[1][0-9]|[2][0-4])$/</x:v>
      </x:c>
      <x:c r="J194" s="9" t="str">
        <x:v>{"key":"param.restrainSwitch","value":"1"}</x:v>
      </x:c>
      <x:c r="K194" s="9" t="str">
        <x:v>静止目标去重时间，范围：1~24小时，默认：6小时。</x:v>
      </x:c>
      <x:c r="L194" s="9" t="str">
        <x:v>默认/合法替代/空/非法类型；按已确认范围测min、max及相邻越界；保存回读并验证行为</x:v>
      </x:c>
      <x:c r="M194" s="9" t="str">
        <x:v>ALG-57</x:v>
      </x:c>
      <x:c r="N194" s="9" t="str">
        <x:v>未执行</x:v>
      </x:c>
      <x:c r="O194" s="12" t="str"/>
    </x:row>
    <x:row r="195" ht="32" customHeight="1">
      <x:c r="A195" s="4" t="str">
        <x:v>PAR-0191</x:v>
      </x:c>
      <x:c r="B195" s="4" t="str">
        <x:v>模板</x:v>
      </x:c>
      <x:c r="C195" s="4" t="str">
        <x:v>57</x:v>
      </x:c>
      <x:c r="D195" s="4" t="str">
        <x:v>绊线检测</x:v>
      </x:c>
      <x:c r="E195" s="4" t="str">
        <x:v>param.overlayTrajectory</x:v>
      </x:c>
      <x:c r="F195" s="4" t="str">
        <x:v>全景图叠加轨迹</x:v>
      </x:c>
      <x:c r="G195" s="4" t="str">
        <x:v>bm1688,cv186x,x86</x:v>
      </x:c>
      <x:c r="H195" s="4" t="str">
        <x:v>0</x:v>
      </x:c>
      <x:c r="I195" s="4" t="str">
        <x:v>min=; max=; regex=/^[01]$/</x:v>
      </x:c>
      <x:c r="J195" s="4" t="str"/>
      <x:c r="K195" s="4" t="str">
        <x:v>打开后会在全景图上叠加目标运动轨迹</x:v>
      </x:c>
      <x:c r="L195" s="4" t="str">
        <x:v>默认/合法替代/空/非法类型；按已确认范围测min、max及相邻越界；保存回读并验证行为</x:v>
      </x:c>
      <x:c r="M195" s="4" t="str">
        <x:v>ALG-57</x:v>
      </x:c>
      <x:c r="N195" s="4" t="str">
        <x:v>未执行</x:v>
      </x:c>
      <x:c r="O195" s="12" t="str"/>
    </x:row>
    <x:row r="196" ht="32" customHeight="1">
      <x:c r="A196" s="9" t="str">
        <x:v>PAR-0192</x:v>
      </x:c>
      <x:c r="B196" s="9" t="str">
        <x:v>模板</x:v>
      </x:c>
      <x:c r="C196" s="9" t="str">
        <x:v>58</x:v>
      </x:c>
      <x:c r="D196" s="9" t="str">
        <x:v>未穿工服</x:v>
      </x:c>
      <x:c r="E196" s="9" t="str">
        <x:v>aiParam.pedestrian.confidence</x:v>
      </x:c>
      <x:c r="F196" s="9" t="str">
        <x:v>行人置信度</x:v>
      </x:c>
      <x:c r="G196" s="9" t="str">
        <x:v>bm1688,cv186x,x86</x:v>
      </x:c>
      <x:c r="H196" s="9" t="str"/>
      <x:c r="I196" s="9" t="str">
        <x:v>min=; max=; regex=</x:v>
      </x:c>
      <x:c r="J196" s="9" t="str"/>
      <x:c r="K196" s="9" t="str">
        <x:v>行人置信度，范围：0.0~1.0，限小数点后3位。</x:v>
      </x:c>
      <x:c r="L196" s="9" t="str">
        <x:v>默认/合法替代/空/非法类型；按已确认范围测min、max及相邻越界；保存回读并验证行为</x:v>
      </x:c>
      <x:c r="M196" s="9" t="str">
        <x:v>ALG-58</x:v>
      </x:c>
      <x:c r="N196" s="9" t="str">
        <x:v>未执行</x:v>
      </x:c>
      <x:c r="O196" s="12" t="str"/>
    </x:row>
    <x:row r="197" ht="32" customHeight="1">
      <x:c r="A197" s="4" t="str">
        <x:v>PAR-0193</x:v>
      </x:c>
      <x:c r="B197" s="4" t="str">
        <x:v>模板</x:v>
      </x:c>
      <x:c r="C197" s="4" t="str">
        <x:v>58</x:v>
      </x:c>
      <x:c r="D197" s="4" t="str">
        <x:v>未穿工服</x:v>
      </x:c>
      <x:c r="E197" s="4" t="str">
        <x:v>aiParam.pedestrian.confidenceConfig</x:v>
      </x:c>
      <x:c r="F197" s="4" t="str">
        <x:v>行人置信度偏移</x:v>
      </x:c>
      <x:c r="G197" s="4" t="str">
        <x:v>bm1688,cv186x,x86</x:v>
      </x:c>
      <x:c r="H197" s="4" t="str">
        <x:v>0,0</x:v>
      </x:c>
      <x:c r="I197" s="4" t="str">
        <x:v>min=; max=; regex=</x:v>
      </x:c>
      <x:c r="J197" s="4" t="str"/>
      <x:c r="K197" s="4" t="str">
        <x:v>行人置信度偏移，默认为严格阈值。可选严格阈值、推荐阈值。</x:v>
      </x:c>
      <x:c r="L197" s="4" t="str">
        <x:v>默认/合法替代/空/非法类型；按已确认范围测min、max及相邻越界；保存回读并验证行为</x:v>
      </x:c>
      <x:c r="M197" s="4" t="str">
        <x:v>ALG-58</x:v>
      </x:c>
      <x:c r="N197" s="4" t="str">
        <x:v>未执行</x:v>
      </x:c>
      <x:c r="O197" s="12" t="str"/>
    </x:row>
    <x:row r="198" ht="32" customHeight="1">
      <x:c r="A198" s="9" t="str">
        <x:v>PAR-0194</x:v>
      </x:c>
      <x:c r="B198" s="9" t="str">
        <x:v>模板</x:v>
      </x:c>
      <x:c r="C198" s="9" t="str">
        <x:v>58</x:v>
      </x:c>
      <x:c r="D198" s="9" t="str">
        <x:v>未穿工服</x:v>
      </x:c>
      <x:c r="E198" s="9" t="str">
        <x:v>aiParam.pedestrian.detPostion</x:v>
      </x:c>
      <x:c r="F198" s="9" t="str">
        <x:v>行人检测方式</x:v>
      </x:c>
      <x:c r="G198" s="9" t="str">
        <x:v>bm1688,cv186x,x86</x:v>
      </x:c>
      <x:c r="H198" s="9" t="str">
        <x:v>0</x:v>
      </x:c>
      <x:c r="I198" s="9" t="str">
        <x:v>枚举：0,1,2</x:v>
      </x:c>
      <x:c r="J198" s="9" t="str"/>
      <x:c r="K198" s="9" t="str">
        <x:v>检测方式：定义检测框中心点的位置。默认在底部。可选顶部、底部、中心。</x:v>
      </x:c>
      <x:c r="L198" s="9" t="str">
        <x:v>依次选每个枚举；非法值；保存刷新；触发依赖字段</x:v>
      </x:c>
      <x:c r="M198" s="9" t="str">
        <x:v>ALG-58</x:v>
      </x:c>
      <x:c r="N198" s="9" t="str">
        <x:v>未执行</x:v>
      </x:c>
      <x:c r="O198" s="12" t="str"/>
    </x:row>
    <x:row r="199" ht="32" customHeight="1">
      <x:c r="A199" s="4" t="str">
        <x:v>PAR-0195</x:v>
      </x:c>
      <x:c r="B199" s="4" t="str">
        <x:v>模板</x:v>
      </x:c>
      <x:c r="C199" s="4" t="str">
        <x:v>58</x:v>
      </x:c>
      <x:c r="D199" s="4" t="str">
        <x:v>未穿工服</x:v>
      </x:c>
      <x:c r="E199" s="4" t="str">
        <x:v>aiParam.1001003.trackDynamicMatch</x:v>
      </x:c>
      <x:c r="F199" s="4" t="str">
        <x:v>行人检测追踪半径</x:v>
      </x:c>
      <x:c r="G199" s="4" t="str">
        <x:v>bm1688,cv186x,x86</x:v>
      </x:c>
      <x:c r="H199" s="4" t="str">
        <x:v>2.3</x:v>
      </x:c>
      <x:c r="I199" s="4" t="str">
        <x:v>min=; max=; regex=</x:v>
      </x:c>
      <x:c r="J199" s="4" t="str"/>
      <x:c r="K199" s="4" t="str">
        <x:v>追踪半径，跟追踪帧数也有关系。范围：0~100，例如：2.3</x:v>
      </x:c>
      <x:c r="L199" s="4" t="str">
        <x:v>默认/合法替代/空/非法类型；按已确认范围测min、max及相邻越界；保存回读并验证行为</x:v>
      </x:c>
      <x:c r="M199" s="4" t="str">
        <x:v>ALG-58</x:v>
      </x:c>
      <x:c r="N199" s="4" t="str">
        <x:v>未执行</x:v>
      </x:c>
      <x:c r="O199" s="12" t="str"/>
    </x:row>
    <x:row r="200" ht="32" customHeight="1">
      <x:c r="A200" s="9" t="str">
        <x:v>PAR-0196</x:v>
      </x:c>
      <x:c r="B200" s="9" t="str">
        <x:v>模板</x:v>
      </x:c>
      <x:c r="C200" s="9" t="str">
        <x:v>58</x:v>
      </x:c>
      <x:c r="D200" s="9" t="str">
        <x:v>未穿工服</x:v>
      </x:c>
      <x:c r="E200" s="9" t="str">
        <x:v>param.workClothesSet</x:v>
      </x:c>
      <x:c r="F200" s="9" t="str">
        <x:v>绑定工服分组</x:v>
      </x:c>
      <x:c r="G200" s="9" t="str">
        <x:v>bm1688,cv186x,x86</x:v>
      </x:c>
      <x:c r="H200" s="9" t="str"/>
      <x:c r="I200" s="9" t="str">
        <x:v>min=; max=; regex=</x:v>
      </x:c>
      <x:c r="J200" s="9" t="str"/>
      <x:c r="K200" s="9" t="str">
        <x:v>选择需要比对的工服分组</x:v>
      </x:c>
      <x:c r="L200" s="9" t="str">
        <x:v>默认/合法替代/空/非法类型；按已确认范围测min、max及相邻越界；保存回读并验证行为</x:v>
      </x:c>
      <x:c r="M200" s="9" t="str">
        <x:v>ALG-58</x:v>
      </x:c>
      <x:c r="N200" s="9" t="str">
        <x:v>未执行</x:v>
      </x:c>
      <x:c r="O200" s="12" t="str"/>
    </x:row>
    <x:row r="201" ht="40" customHeight="1">
      <x:c r="A201" s="4" t="str">
        <x:v>PAR-0197</x:v>
      </x:c>
      <x:c r="B201" s="4" t="str">
        <x:v>模板</x:v>
      </x:c>
      <x:c r="C201" s="4" t="str">
        <x:v>58</x:v>
      </x:c>
      <x:c r="D201" s="4" t="str">
        <x:v>未穿工服</x:v>
      </x:c>
      <x:c r="E201" s="4" t="str">
        <x:v>param.targetAlarmInterval</x:v>
      </x:c>
      <x:c r="F201" s="4" t="str">
        <x:v>告警时间间隔（秒）</x:v>
      </x:c>
      <x:c r="G201" s="4" t="str">
        <x:v>bm1688,cv186x,x86</x:v>
      </x:c>
      <x:c r="H201" s="4" t="str">
        <x:v>60</x:v>
      </x:c>
      <x:c r="I201" s="4" t="str">
        <x:v>min=; max=; regex=/^([1-9]|[1-9][0-9]|[1-9][0-9][0-9]|[1-9][0-9][0-9][0-9]|[1-2][0-9][0-9][0-9][0-9]|[3][0-5][0-9][0-9][0-9]|36000)$/</x:v>
      </x:c>
      <x:c r="J201" s="4" t="str"/>
      <x:c r="K201" s="4" t="str">
        <x:v>告警时间间隔：2次告警事件的间隔。范围：1~36000秒，默认：60秒。</x:v>
      </x:c>
      <x:c r="L201" s="4" t="str">
        <x:v>默认/合法替代/空/非法类型；按已确认范围测min、max及相邻越界；保存回读并验证行为</x:v>
      </x:c>
      <x:c r="M201" s="4" t="str">
        <x:v>ALG-58</x:v>
      </x:c>
      <x:c r="N201" s="4" t="str">
        <x:v>未执行</x:v>
      </x:c>
      <x:c r="O201" s="12" t="str"/>
    </x:row>
    <x:row r="202" ht="32" customHeight="1">
      <x:c r="A202" s="9" t="str">
        <x:v>PAR-0198</x:v>
      </x:c>
      <x:c r="B202" s="9" t="str">
        <x:v>模板</x:v>
      </x:c>
      <x:c r="C202" s="9" t="str">
        <x:v>58</x:v>
      </x:c>
      <x:c r="D202" s="9" t="str">
        <x:v>未穿工服</x:v>
      </x:c>
      <x:c r="E202" s="9" t="str">
        <x:v>param.targetAlarmCount</x:v>
      </x:c>
      <x:c r="F202" s="9" t="str">
        <x:v>告警次数</x:v>
      </x:c>
      <x:c r="G202" s="9" t="str">
        <x:v>bm1688,cv186x,x86</x:v>
      </x:c>
      <x:c r="H202" s="9" t="str">
        <x:v>1</x:v>
      </x:c>
      <x:c r="I202" s="9" t="str">
        <x:v>min=; max=; regex=/^(0|[1-9]|[1-9][0-9]|100)$/</x:v>
      </x:c>
      <x:c r="J202" s="9" t="str"/>
      <x:c r="K202" s="9" t="str">
        <x:v>告警次数：范围：0-100，默认为1。0表示不限次数。</x:v>
      </x:c>
      <x:c r="L202" s="9" t="str">
        <x:v>默认/合法替代/空/非法类型；按已确认范围测min、max及相邻越界；保存回读并验证行为</x:v>
      </x:c>
      <x:c r="M202" s="9" t="str">
        <x:v>ALG-58</x:v>
      </x:c>
      <x:c r="N202" s="9" t="str">
        <x:v>未执行</x:v>
      </x:c>
      <x:c r="O202" s="12" t="str"/>
    </x:row>
    <x:row r="203" ht="40" customHeight="1">
      <x:c r="A203" s="4" t="str">
        <x:v>PAR-0199</x:v>
      </x:c>
      <x:c r="B203" s="4" t="str">
        <x:v>模板</x:v>
      </x:c>
      <x:c r="C203" s="4" t="str">
        <x:v>58</x:v>
      </x:c>
      <x:c r="D203" s="4" t="str">
        <x:v>未穿工服</x:v>
      </x:c>
      <x:c r="E203" s="4" t="str">
        <x:v>param.restrainSwitch</x:v>
      </x:c>
      <x:c r="F203" s="4" t="str">
        <x:v>静止目标去重</x:v>
      </x:c>
      <x:c r="G203" s="4" t="str">
        <x:v>bm1688,cv186x,x86</x:v>
      </x:c>
      <x:c r="H203" s="4" t="str">
        <x:v>1</x:v>
      </x:c>
      <x:c r="I203" s="4" t="str">
        <x:v>min=; max=; regex=/^[01]$/</x:v>
      </x:c>
      <x:c r="J203" s="4" t="str"/>
      <x:c r="K203" s="4" t="str">
        <x:v>静止目标去重：对于告警目标，开启此功能后，将进行目标静止状态检测，如判定为静止目标，则不会重复报警。</x:v>
      </x:c>
      <x:c r="L203" s="4" t="str">
        <x:v>默认/合法替代/空/非法类型；按已确认范围测min、max及相邻越界；保存回读并验证行为</x:v>
      </x:c>
      <x:c r="M203" s="4" t="str">
        <x:v>ALG-58</x:v>
      </x:c>
      <x:c r="N203" s="4" t="str">
        <x:v>未执行</x:v>
      </x:c>
      <x:c r="O203" s="12" t="str"/>
    </x:row>
    <x:row r="204" ht="32" customHeight="1">
      <x:c r="A204" s="9" t="str">
        <x:v>PAR-0200</x:v>
      </x:c>
      <x:c r="B204" s="9" t="str">
        <x:v>模板</x:v>
      </x:c>
      <x:c r="C204" s="9" t="str">
        <x:v>58</x:v>
      </x:c>
      <x:c r="D204" s="9" t="str">
        <x:v>未穿工服</x:v>
      </x:c>
      <x:c r="E204" s="9" t="str">
        <x:v>param.overlapRate</x:v>
      </x:c>
      <x:c r="F204" s="9" t="str">
        <x:v>静止目标重叠率</x:v>
      </x:c>
      <x:c r="G204" s="9" t="str">
        <x:v>bm1688,cv186x,x86</x:v>
      </x:c>
      <x:c r="H204" s="9" t="str">
        <x:v>0.2</x:v>
      </x:c>
      <x:c r="I204" s="9" t="str">
        <x:v>min=; max=; regex=/^(0(\.\d{1,3})?|1(\.0{1,3})?)$/</x:v>
      </x:c>
      <x:c r="J204" s="9" t="str">
        <x:v>{"key":"param.restrainSwitch","value":"1"}</x:v>
      </x:c>
      <x:c r="K204" s="9" t="str">
        <x:v>静止目标重叠率，范围：0.0~1.0，限小数点后3位，默认：0.2。</x:v>
      </x:c>
      <x:c r="L204" s="9" t="str">
        <x:v>默认/合法替代/空/非法类型；按已确认范围测min、max及相邻越界；保存回读并验证行为</x:v>
      </x:c>
      <x:c r="M204" s="9" t="str">
        <x:v>ALG-58</x:v>
      </x:c>
      <x:c r="N204" s="9" t="str">
        <x:v>未执行</x:v>
      </x:c>
      <x:c r="O204" s="12" t="str"/>
    </x:row>
    <x:row r="205" ht="32" customHeight="1">
      <x:c r="A205" s="4" t="str">
        <x:v>PAR-0201</x:v>
      </x:c>
      <x:c r="B205" s="4" t="str">
        <x:v>模板</x:v>
      </x:c>
      <x:c r="C205" s="4" t="str">
        <x:v>58</x:v>
      </x:c>
      <x:c r="D205" s="4" t="str">
        <x:v>未穿工服</x:v>
      </x:c>
      <x:c r="E205" s="4" t="str">
        <x:v>param.restrainTime</x:v>
      </x:c>
      <x:c r="F205" s="4" t="str">
        <x:v>静止目标去重时间(小时)</x:v>
      </x:c>
      <x:c r="G205" s="4" t="str">
        <x:v>bm1688,cv186x,x86</x:v>
      </x:c>
      <x:c r="H205" s="4" t="str">
        <x:v>6</x:v>
      </x:c>
      <x:c r="I205" s="4" t="str">
        <x:v>min=; max=; regex=/^([0-9]|[1][0-9]|[2][0-4])$/</x:v>
      </x:c>
      <x:c r="J205" s="4" t="str">
        <x:v>{"key":"param.restrainSwitch","value":"1"}</x:v>
      </x:c>
      <x:c r="K205" s="4" t="str">
        <x:v>静止目标去重时间，范围：1~24小时，默认：6小时。</x:v>
      </x:c>
      <x:c r="L205" s="4" t="str">
        <x:v>默认/合法替代/空/非法类型；按已确认范围测min、max及相邻越界；保存回读并验证行为</x:v>
      </x:c>
      <x:c r="M205" s="4" t="str">
        <x:v>ALG-58</x:v>
      </x:c>
      <x:c r="N205" s="4" t="str">
        <x:v>未执行</x:v>
      </x:c>
      <x:c r="O205" s="12" t="str"/>
    </x:row>
    <x:row r="206" ht="32" customHeight="1">
      <x:c r="A206" s="9" t="str">
        <x:v>PAR-0202</x:v>
      </x:c>
      <x:c r="B206" s="9" t="str">
        <x:v>模板</x:v>
      </x:c>
      <x:c r="C206" s="9" t="str">
        <x:v>58</x:v>
      </x:c>
      <x:c r="D206" s="9" t="str">
        <x:v>未穿工服</x:v>
      </x:c>
      <x:c r="E206" s="9" t="str">
        <x:v>param.overlayTrajectory</x:v>
      </x:c>
      <x:c r="F206" s="9" t="str">
        <x:v>全景图叠加轨迹</x:v>
      </x:c>
      <x:c r="G206" s="9" t="str">
        <x:v>bm1688,cv186x,x86</x:v>
      </x:c>
      <x:c r="H206" s="9" t="str">
        <x:v>0</x:v>
      </x:c>
      <x:c r="I206" s="9" t="str">
        <x:v>min=; max=; regex=/^[01]$/</x:v>
      </x:c>
      <x:c r="J206" s="9" t="str"/>
      <x:c r="K206" s="9" t="str">
        <x:v>打开后会在全景图上叠加目标运动轨迹</x:v>
      </x:c>
      <x:c r="L206" s="9" t="str">
        <x:v>默认/合法替代/空/非法类型；按已确认范围测min、max及相邻越界；保存回读并验证行为</x:v>
      </x:c>
      <x:c r="M206" s="9" t="str">
        <x:v>ALG-58</x:v>
      </x:c>
      <x:c r="N206" s="9" t="str">
        <x:v>未执行</x:v>
      </x:c>
      <x:c r="O206" s="12" t="str"/>
    </x:row>
    <x:row r="207" ht="40" customHeight="1">
      <x:c r="A207" s="4" t="str">
        <x:v>PAR-0203</x:v>
      </x:c>
      <x:c r="B207" s="4" t="str">
        <x:v>模板</x:v>
      </x:c>
      <x:c r="C207" s="4" t="str">
        <x:v>58</x:v>
      </x:c>
      <x:c r="D207" s="4" t="str">
        <x:v>未穿工服</x:v>
      </x:c>
      <x:c r="E207" s="4" t="str">
        <x:v>filter.pedestrian.side.min</x:v>
      </x:c>
      <x:c r="F207" s="4" t="str">
        <x:v>最小行人尺寸</x:v>
      </x:c>
      <x:c r="G207" s="4" t="str">
        <x:v>bm1688,cv186x,x86</x:v>
      </x:c>
      <x:c r="H207" s="4" t="str">
        <x:v>60</x:v>
      </x:c>
      <x:c r="I207" s="4" t="str">
        <x:v>min=; max=; regex=/^(0|[1-9]|[1-9][0-9]|[1-9][0-9][0-9]|[1-9][0-9][0-9][0-9]|10000)$/</x:v>
      </x:c>
      <x:c r="J207" s="4" t="str"/>
      <x:c r="K207" s="4" t="str">
        <x:v>最小行人尺寸：行人抓拍照片的最小图像尺寸。如输入值为100，则最小行人尺寸为100*100像素。范围：10px~1000像素 默认：100像素。</x:v>
      </x:c>
      <x:c r="L207" s="4" t="str">
        <x:v>默认/合法替代/空/非法类型；按已确认范围测min、max及相邻越界；保存回读并验证行为</x:v>
      </x:c>
      <x:c r="M207" s="4" t="str">
        <x:v>ALG-58</x:v>
      </x:c>
      <x:c r="N207" s="4" t="str">
        <x:v>未执行</x:v>
      </x:c>
      <x:c r="O207" s="12" t="str"/>
    </x:row>
    <x:row r="208" ht="32" customHeight="1">
      <x:c r="A208" s="9" t="str">
        <x:v>PAR-0204</x:v>
      </x:c>
      <x:c r="B208" s="9" t="str">
        <x:v>模板</x:v>
      </x:c>
      <x:c r="C208" s="9" t="str">
        <x:v>58</x:v>
      </x:c>
      <x:c r="D208" s="9" t="str">
        <x:v>未穿工服</x:v>
      </x:c>
      <x:c r="E208" s="9" t="str">
        <x:v>aiParam.quality0.confidence</x:v>
      </x:c>
      <x:c r="F208" s="9" t="str">
        <x:v>行人质量0置信度</x:v>
      </x:c>
      <x:c r="G208" s="9" t="str">
        <x:v>bm1688,cv186x,x86</x:v>
      </x:c>
      <x:c r="H208" s="9" t="str"/>
      <x:c r="I208" s="9" t="str">
        <x:v>min=; max=; regex=</x:v>
      </x:c>
      <x:c r="J208" s="9" t="str"/>
      <x:c r="K208" s="9" t="str">
        <x:v>行人质量0置信度，范围：0.0~1.0，限小数点后3位。</x:v>
      </x:c>
      <x:c r="L208" s="9" t="str">
        <x:v>默认/合法替代/空/非法类型；按已确认范围测min、max及相邻越界；保存回读并验证行为</x:v>
      </x:c>
      <x:c r="M208" s="9" t="str">
        <x:v>ALG-58</x:v>
      </x:c>
      <x:c r="N208" s="9" t="str">
        <x:v>未执行</x:v>
      </x:c>
      <x:c r="O208" s="12" t="str"/>
    </x:row>
    <x:row r="209" ht="32" customHeight="1">
      <x:c r="A209" s="4" t="str">
        <x:v>PAR-0205</x:v>
      </x:c>
      <x:c r="B209" s="4" t="str">
        <x:v>模板</x:v>
      </x:c>
      <x:c r="C209" s="4" t="str">
        <x:v>58</x:v>
      </x:c>
      <x:c r="D209" s="4" t="str">
        <x:v>未穿工服</x:v>
      </x:c>
      <x:c r="E209" s="4" t="str">
        <x:v>aiParam.quality0.confidenceConfig</x:v>
      </x:c>
      <x:c r="F209" s="4" t="str">
        <x:v>行人质量0置信度偏移</x:v>
      </x:c>
      <x:c r="G209" s="4" t="str">
        <x:v>bm1688,cv186x,x86</x:v>
      </x:c>
      <x:c r="H209" s="4" t="str">
        <x:v>0,0</x:v>
      </x:c>
      <x:c r="I209" s="4" t="str">
        <x:v>min=; max=; regex=</x:v>
      </x:c>
      <x:c r="J209" s="4" t="str"/>
      <x:c r="K209" s="4" t="str">
        <x:v>行人质量0置信度偏移，默认为严格阈值。可选严格阈值、推荐阈值。</x:v>
      </x:c>
      <x:c r="L209" s="4" t="str">
        <x:v>默认/合法替代/空/非法类型；按已确认范围测min、max及相邻越界；保存回读并验证行为</x:v>
      </x:c>
      <x:c r="M209" s="4" t="str">
        <x:v>ALG-58</x:v>
      </x:c>
      <x:c r="N209" s="4" t="str">
        <x:v>未执行</x:v>
      </x:c>
      <x:c r="O209" s="12" t="str"/>
    </x:row>
    <x:row r="210" ht="40" customHeight="1">
      <x:c r="A210" s="9" t="str">
        <x:v>PAR-0206</x:v>
      </x:c>
      <x:c r="B210" s="9" t="str">
        <x:v>模板</x:v>
      </x:c>
      <x:c r="C210" s="9" t="str">
        <x:v>58</x:v>
      </x:c>
      <x:c r="D210" s="9" t="str">
        <x:v>未穿工服</x:v>
      </x:c>
      <x:c r="E210" s="9" t="str">
        <x:v>param.sensitivity</x:v>
      </x:c>
      <x:c r="F210" s="9" t="str">
        <x:v>灵敏度</x:v>
      </x:c>
      <x:c r="G210" s="9" t="str">
        <x:v>bm1688,cv186x,x86</x:v>
      </x:c>
      <x:c r="H210" s="9" t="str">
        <x:v>5</x:v>
      </x:c>
      <x:c r="I210" s="9" t="str">
        <x:v>min=; max=; regex=/^([1-9]|10)$/</x:v>
      </x:c>
      <x:c r="J210" s="9" t="str"/>
      <x:c r="K210" s="9" t="str">
        <x:v>灵敏度：用于计算总数范围内的命中数。如总数为10，取帧频率为3，则需时间≥10/3秒，才有可能产生告警。</x:v>
      </x:c>
      <x:c r="L210" s="9" t="str">
        <x:v>默认/合法替代/空/非法类型；按已确认范围测min、max及相邻越界；保存回读并验证行为</x:v>
      </x:c>
      <x:c r="M210" s="9" t="str">
        <x:v>ALG-58</x:v>
      </x:c>
      <x:c r="N210" s="9" t="str">
        <x:v>未执行</x:v>
      </x:c>
      <x:c r="O210" s="12" t="str"/>
    </x:row>
    <x:row r="211" ht="40" customHeight="1">
      <x:c r="A211" s="4" t="str">
        <x:v>PAR-0207</x:v>
      </x:c>
      <x:c r="B211" s="4" t="str">
        <x:v>模板</x:v>
      </x:c>
      <x:c r="C211" s="4" t="str">
        <x:v>58</x:v>
      </x:c>
      <x:c r="D211" s="4" t="str">
        <x:v>未穿工服</x:v>
      </x:c>
      <x:c r="E211" s="4" t="str">
        <x:v>param.detectionDuration</x:v>
      </x:c>
      <x:c r="F211" s="4" t="str">
        <x:v>检测时间（秒）</x:v>
      </x:c>
      <x:c r="G211" s="4" t="str">
        <x:v>bm1688,cv186x,x86</x:v>
      </x:c>
      <x:c r="H211" s="4" t="str">
        <x:v>2</x:v>
      </x:c>
      <x:c r="I211" s="4" t="str">
        <x:v>min=; max=; regex=/^([1-9]|[1-9][0-9]|[1-9][0-9][0-9]|[1-2][0-9][0-9][0-9]|[3][0-5][0-9][0-9]|3600)$/</x:v>
      </x:c>
      <x:c r="J211" s="4" t="str"/>
      <x:c r="K211" s="4" t="str">
        <x:v>检测时间：范围：1-3600。默认2。</x:v>
      </x:c>
      <x:c r="L211" s="4" t="str">
        <x:v>默认/合法替代/空/非法类型；按已确认范围测min、max及相邻越界；保存回读并验证行为</x:v>
      </x:c>
      <x:c r="M211" s="4" t="str">
        <x:v>ALG-58</x:v>
      </x:c>
      <x:c r="N211" s="4" t="str">
        <x:v>未执行</x:v>
      </x:c>
      <x:c r="O211" s="12" t="str"/>
    </x:row>
    <x:row r="212" ht="40" customHeight="1">
      <x:c r="A212" s="9" t="str">
        <x:v>PAR-0208</x:v>
      </x:c>
      <x:c r="B212" s="9" t="str">
        <x:v>模板</x:v>
      </x:c>
      <x:c r="C212" s="9" t="str">
        <x:v>5</x:v>
      </x:c>
      <x:c r="D212" s="9" t="str">
        <x:v>人员聚集</x:v>
      </x:c>
      <x:c r="E212" s="9" t="str">
        <x:v>filter.pedestrian.side.min</x:v>
      </x:c>
      <x:c r="F212" s="9" t="str">
        <x:v>最小行人尺寸</x:v>
      </x:c>
      <x:c r="G212" s="9" t="str">
        <x:v>bm1688,cv186x,x86</x:v>
      </x:c>
      <x:c r="H212" s="9" t="str">
        <x:v>60</x:v>
      </x:c>
      <x:c r="I212" s="9" t="str">
        <x:v>min=; max=; regex=/^(0|[1-9]|[1-9][0-9]|[1-9][0-9][0-9]|[1-9][0-9][0-9][0-9]|10000)$/</x:v>
      </x:c>
      <x:c r="J212" s="9" t="str"/>
      <x:c r="K212" s="9" t="str">
        <x:v>最小行人尺寸：行人抓拍照片的最小图像尺寸。如输入值为100，则最小行人尺寸为100*100像素。范围：10px~1000像素 默认：100像素。</x:v>
      </x:c>
      <x:c r="L212" s="9" t="str">
        <x:v>默认/合法替代/空/非法类型；按已确认范围测min、max及相邻越界；保存回读并验证行为</x:v>
      </x:c>
      <x:c r="M212" s="9" t="str">
        <x:v>ALG-5</x:v>
      </x:c>
      <x:c r="N212" s="9" t="str">
        <x:v>未执行</x:v>
      </x:c>
      <x:c r="O212" s="12" t="str"/>
    </x:row>
    <x:row r="213" ht="32" customHeight="1">
      <x:c r="A213" s="4" t="str">
        <x:v>PAR-0209</x:v>
      </x:c>
      <x:c r="B213" s="4" t="str">
        <x:v>模板</x:v>
      </x:c>
      <x:c r="C213" s="4" t="str">
        <x:v>5</x:v>
      </x:c>
      <x:c r="D213" s="4" t="str">
        <x:v>人员聚集</x:v>
      </x:c>
      <x:c r="E213" s="4" t="str">
        <x:v>aiParam.pedestrian.confidence</x:v>
      </x:c>
      <x:c r="F213" s="4" t="str">
        <x:v>行人置信度</x:v>
      </x:c>
      <x:c r="G213" s="4" t="str">
        <x:v>bm1688,cv186x,x86</x:v>
      </x:c>
      <x:c r="H213" s="4" t="str"/>
      <x:c r="I213" s="4" t="str">
        <x:v>min=; max=; regex=</x:v>
      </x:c>
      <x:c r="J213" s="4" t="str"/>
      <x:c r="K213" s="4" t="str">
        <x:v>行人置信度，范围：0.0~1.0，限小数点后3位。</x:v>
      </x:c>
      <x:c r="L213" s="4" t="str">
        <x:v>默认/合法替代/空/非法类型；按已确认范围测min、max及相邻越界；保存回读并验证行为</x:v>
      </x:c>
      <x:c r="M213" s="4" t="str">
        <x:v>ALG-5</x:v>
      </x:c>
      <x:c r="N213" s="4" t="str">
        <x:v>未执行</x:v>
      </x:c>
      <x:c r="O213" s="12" t="str"/>
    </x:row>
    <x:row r="214" ht="32" customHeight="1">
      <x:c r="A214" s="9" t="str">
        <x:v>PAR-0210</x:v>
      </x:c>
      <x:c r="B214" s="9" t="str">
        <x:v>模板</x:v>
      </x:c>
      <x:c r="C214" s="9" t="str">
        <x:v>5</x:v>
      </x:c>
      <x:c r="D214" s="9" t="str">
        <x:v>人员聚集</x:v>
      </x:c>
      <x:c r="E214" s="9" t="str">
        <x:v>param.overlapRate</x:v>
      </x:c>
      <x:c r="F214" s="9" t="str">
        <x:v>静止目标重叠率</x:v>
      </x:c>
      <x:c r="G214" s="9" t="str">
        <x:v>bm1688,cv186x,x86</x:v>
      </x:c>
      <x:c r="H214" s="9" t="str">
        <x:v>0.2</x:v>
      </x:c>
      <x:c r="I214" s="9" t="str">
        <x:v>min=; max=; regex=/^(0(\.\d{1,3})?|1(\.0{1,3})?)$/</x:v>
      </x:c>
      <x:c r="J214" s="9" t="str">
        <x:v>{"key":"param.restrainSwitch","value":"1"}</x:v>
      </x:c>
      <x:c r="K214" s="9" t="str">
        <x:v>静止目标重叠率，范围：0.0~1.0，限小数点后3位，默认：0.2。</x:v>
      </x:c>
      <x:c r="L214" s="9" t="str">
        <x:v>默认/合法替代/空/非法类型；按已确认范围测min、max及相邻越界；保存回读并验证行为</x:v>
      </x:c>
      <x:c r="M214" s="9" t="str">
        <x:v>ALG-5</x:v>
      </x:c>
      <x:c r="N214" s="9" t="str">
        <x:v>未执行</x:v>
      </x:c>
      <x:c r="O214" s="12" t="str"/>
    </x:row>
    <x:row r="215" ht="32" customHeight="1">
      <x:c r="A215" s="4" t="str">
        <x:v>PAR-0211</x:v>
      </x:c>
      <x:c r="B215" s="4" t="str">
        <x:v>模板</x:v>
      </x:c>
      <x:c r="C215" s="4" t="str">
        <x:v>5</x:v>
      </x:c>
      <x:c r="D215" s="4" t="str">
        <x:v>人员聚集</x:v>
      </x:c>
      <x:c r="E215" s="4" t="str">
        <x:v>aiParam.pedestrian.confidenceConfig</x:v>
      </x:c>
      <x:c r="F215" s="4" t="str">
        <x:v>行人置信度偏移</x:v>
      </x:c>
      <x:c r="G215" s="4" t="str">
        <x:v>bm1688,cv186x,x86</x:v>
      </x:c>
      <x:c r="H215" s="4" t="str">
        <x:v>0,0</x:v>
      </x:c>
      <x:c r="I215" s="4" t="str">
        <x:v>min=; max=; regex=</x:v>
      </x:c>
      <x:c r="J215" s="4" t="str"/>
      <x:c r="K215" s="4" t="str">
        <x:v>行人置信度偏移，默认为严格阈值。可选严格阈值、推荐阈值。</x:v>
      </x:c>
      <x:c r="L215" s="4" t="str">
        <x:v>默认/合法替代/空/非法类型；按已确认范围测min、max及相邻越界；保存回读并验证行为</x:v>
      </x:c>
      <x:c r="M215" s="4" t="str">
        <x:v>ALG-5</x:v>
      </x:c>
      <x:c r="N215" s="4" t="str">
        <x:v>未执行</x:v>
      </x:c>
      <x:c r="O215" s="12" t="str"/>
    </x:row>
    <x:row r="216" ht="32" customHeight="1">
      <x:c r="A216" s="9" t="str">
        <x:v>PAR-0212</x:v>
      </x:c>
      <x:c r="B216" s="9" t="str">
        <x:v>模板</x:v>
      </x:c>
      <x:c r="C216" s="9" t="str">
        <x:v>5</x:v>
      </x:c>
      <x:c r="D216" s="9" t="str">
        <x:v>人员聚集</x:v>
      </x:c>
      <x:c r="E216" s="9" t="str">
        <x:v>aiParam.pedestrian.detPostion</x:v>
      </x:c>
      <x:c r="F216" s="9" t="str">
        <x:v>行人检测方式</x:v>
      </x:c>
      <x:c r="G216" s="9" t="str">
        <x:v>bm1688,cv186x,x86</x:v>
      </x:c>
      <x:c r="H216" s="9" t="str">
        <x:v>0</x:v>
      </x:c>
      <x:c r="I216" s="9" t="str">
        <x:v>枚举：0,1,2</x:v>
      </x:c>
      <x:c r="J216" s="9" t="str"/>
      <x:c r="K216" s="9" t="str">
        <x:v>检测方式：定义检测框中心点的位置。默认在底部。可选顶部、底部、中心。</x:v>
      </x:c>
      <x:c r="L216" s="9" t="str">
        <x:v>依次选每个枚举；非法值；保存刷新；触发依赖字段</x:v>
      </x:c>
      <x:c r="M216" s="9" t="str">
        <x:v>ALG-5</x:v>
      </x:c>
      <x:c r="N216" s="9" t="str">
        <x:v>未执行</x:v>
      </x:c>
      <x:c r="O216" s="12" t="str"/>
    </x:row>
    <x:row r="217" ht="40" customHeight="1">
      <x:c r="A217" s="4" t="str">
        <x:v>PAR-0213</x:v>
      </x:c>
      <x:c r="B217" s="4" t="str">
        <x:v>模板</x:v>
      </x:c>
      <x:c r="C217" s="4" t="str">
        <x:v>5</x:v>
      </x:c>
      <x:c r="D217" s="4" t="str">
        <x:v>人员聚集</x:v>
      </x:c>
      <x:c r="E217" s="4" t="str">
        <x:v>param.alarmInterval</x:v>
      </x:c>
      <x:c r="F217" s="4" t="str">
        <x:v>告警时间间隔（秒）</x:v>
      </x:c>
      <x:c r="G217" s="4" t="str">
        <x:v>bm1688,cv186x,x86</x:v>
      </x:c>
      <x:c r="H217" s="4" t="str">
        <x:v>60</x:v>
      </x:c>
      <x:c r="I217" s="4" t="str">
        <x:v>min=; max=; regex=/^([1-9]|[1-9][0-9]|[1-9][0-9][0-9]|[1-9][0-9][0-9][0-9]|[1-2][0-9][0-9][0-9][0-9]|[3][0-5][0-9][0-9][0-9]|36000)$/</x:v>
      </x:c>
      <x:c r="J217" s="4" t="str"/>
      <x:c r="K217" s="4" t="str">
        <x:v>告警时间间隔：2次告警事件的间隔。范围：1~36000秒，默认：60秒。</x:v>
      </x:c>
      <x:c r="L217" s="4" t="str">
        <x:v>默认/合法替代/空/非法类型；按已确认范围测min、max及相邻越界；保存回读并验证行为</x:v>
      </x:c>
      <x:c r="M217" s="4" t="str">
        <x:v>ALG-5</x:v>
      </x:c>
      <x:c r="N217" s="4" t="str">
        <x:v>未执行</x:v>
      </x:c>
      <x:c r="O217" s="12" t="str"/>
    </x:row>
    <x:row r="218" ht="40" customHeight="1">
      <x:c r="A218" s="9" t="str">
        <x:v>PAR-0214</x:v>
      </x:c>
      <x:c r="B218" s="9" t="str">
        <x:v>模板</x:v>
      </x:c>
      <x:c r="C218" s="9" t="str">
        <x:v>5</x:v>
      </x:c>
      <x:c r="D218" s="9" t="str">
        <x:v>人员聚集</x:v>
      </x:c>
      <x:c r="E218" s="9" t="str">
        <x:v>param.restrainSwitch</x:v>
      </x:c>
      <x:c r="F218" s="9" t="str">
        <x:v>静止目标去重</x:v>
      </x:c>
      <x:c r="G218" s="9" t="str">
        <x:v>bm1688,cv186x,x86</x:v>
      </x:c>
      <x:c r="H218" s="9" t="str">
        <x:v>0</x:v>
      </x:c>
      <x:c r="I218" s="9" t="str">
        <x:v>min=; max=; regex=/^[01]$/</x:v>
      </x:c>
      <x:c r="J218" s="9" t="str"/>
      <x:c r="K218" s="9" t="str">
        <x:v>静止目标去重：对于告警目标，开启此功能后，将进行目标静止状态检测，如判定为静止目标，则不会重复报警。</x:v>
      </x:c>
      <x:c r="L218" s="9" t="str">
        <x:v>默认/合法替代/空/非法类型；按已确认范围测min、max及相邻越界；保存回读并验证行为</x:v>
      </x:c>
      <x:c r="M218" s="9" t="str">
        <x:v>ALG-5</x:v>
      </x:c>
      <x:c r="N218" s="9" t="str">
        <x:v>未执行</x:v>
      </x:c>
      <x:c r="O218" s="12" t="str"/>
    </x:row>
    <x:row r="219" ht="32" customHeight="1">
      <x:c r="A219" s="4" t="str">
        <x:v>PAR-0215</x:v>
      </x:c>
      <x:c r="B219" s="4" t="str">
        <x:v>模板</x:v>
      </x:c>
      <x:c r="C219" s="4" t="str">
        <x:v>5</x:v>
      </x:c>
      <x:c r="D219" s="4" t="str">
        <x:v>人员聚集</x:v>
      </x:c>
      <x:c r="E219" s="4" t="str">
        <x:v>param.restrainTime</x:v>
      </x:c>
      <x:c r="F219" s="4" t="str">
        <x:v>静止目标去重时间(小时)</x:v>
      </x:c>
      <x:c r="G219" s="4" t="str">
        <x:v>bm1688,cv186x,x86</x:v>
      </x:c>
      <x:c r="H219" s="4" t="str">
        <x:v>6</x:v>
      </x:c>
      <x:c r="I219" s="4" t="str">
        <x:v>min=; max=; regex=/^([0-9]|[1][0-9]|[2][0-4])$/</x:v>
      </x:c>
      <x:c r="J219" s="4" t="str">
        <x:v>{"key":"param.restrainSwitch","value":"1"}</x:v>
      </x:c>
      <x:c r="K219" s="4" t="str">
        <x:v>静止目标去重时间，范围：1~24小时，默认：6小时。</x:v>
      </x:c>
      <x:c r="L219" s="4" t="str">
        <x:v>默认/合法替代/空/非法类型；按已确认范围测min、max及相邻越界；保存回读并验证行为</x:v>
      </x:c>
      <x:c r="M219" s="4" t="str">
        <x:v>ALG-5</x:v>
      </x:c>
      <x:c r="N219" s="4" t="str">
        <x:v>未执行</x:v>
      </x:c>
      <x:c r="O219" s="12" t="str"/>
    </x:row>
    <x:row r="220" ht="40" customHeight="1">
      <x:c r="A220" s="9" t="str">
        <x:v>PAR-0216</x:v>
      </x:c>
      <x:c r="B220" s="9" t="str">
        <x:v>模板</x:v>
      </x:c>
      <x:c r="C220" s="9" t="str">
        <x:v>5</x:v>
      </x:c>
      <x:c r="D220" s="9" t="str">
        <x:v>人员聚集</x:v>
      </x:c>
      <x:c r="E220" s="9" t="str">
        <x:v>param.areaLimitTargetCount</x:v>
      </x:c>
      <x:c r="F220" s="9" t="str">
        <x:v>区域中的目标数</x:v>
      </x:c>
      <x:c r="G220" s="9" t="str">
        <x:v>bm1688,cv186x,x86</x:v>
      </x:c>
      <x:c r="H220" s="9" t="str">
        <x:v>10</x:v>
      </x:c>
      <x:c r="I220" s="9" t="str">
        <x:v>min=; max=; regex=/^([0-9]|[1-9][0-9]|[1-9][0-9][0-9]|[1-2][0-9][0-9][0-9]|[3][0-5][0-9][0-9]|3600)$/</x:v>
      </x:c>
      <x:c r="J220" s="9" t="str"/>
      <x:c r="K220" s="9" t="str">
        <x:v>区域中的目标数</x:v>
      </x:c>
      <x:c r="L220" s="9" t="str">
        <x:v>默认/合法替代/空/非法类型；按已确认范围测min、max及相邻越界；保存回读并验证行为</x:v>
      </x:c>
      <x:c r="M220" s="9" t="str">
        <x:v>ALG-5</x:v>
      </x:c>
      <x:c r="N220" s="9" t="str">
        <x:v>未执行</x:v>
      </x:c>
      <x:c r="O220" s="12" t="str"/>
    </x:row>
    <x:row r="221" ht="32" customHeight="1">
      <x:c r="A221" s="4" t="str">
        <x:v>PAR-0217</x:v>
      </x:c>
      <x:c r="B221" s="4" t="str">
        <x:v>模板</x:v>
      </x:c>
      <x:c r="C221" s="4" t="str">
        <x:v>5</x:v>
      </x:c>
      <x:c r="D221" s="4" t="str">
        <x:v>人员聚集</x:v>
      </x:c>
      <x:c r="E221" s="4" t="str">
        <x:v>param.areaLimitTargetType</x:v>
      </x:c>
      <x:c r="F221" s="4" t="str">
        <x:v>区域中目标数限制类型</x:v>
      </x:c>
      <x:c r="G221" s="4" t="str">
        <x:v>bm1688,cv186x,x86</x:v>
      </x:c>
      <x:c r="H221" s="4" t="str">
        <x:v>1</x:v>
      </x:c>
      <x:c r="I221" s="4" t="str">
        <x:v>枚举：0,1,2,3,4</x:v>
      </x:c>
      <x:c r="J221" s="4" t="str"/>
      <x:c r="K221" s="4" t="str">
        <x:v>区域中目标数限制类型</x:v>
      </x:c>
      <x:c r="L221" s="4" t="str">
        <x:v>依次选每个枚举；非法值；保存刷新；触发依赖字段</x:v>
      </x:c>
      <x:c r="M221" s="4" t="str">
        <x:v>ALG-5</x:v>
      </x:c>
      <x:c r="N221" s="4" t="str">
        <x:v>未执行</x:v>
      </x:c>
      <x:c r="O221" s="12" t="str"/>
    </x:row>
    <x:row r="222" ht="32" customHeight="1">
      <x:c r="A222" s="9" t="str">
        <x:v>PAR-0218</x:v>
      </x:c>
      <x:c r="B222" s="9" t="str">
        <x:v>模板</x:v>
      </x:c>
      <x:c r="C222" s="9" t="str">
        <x:v>5</x:v>
      </x:c>
      <x:c r="D222" s="9" t="str">
        <x:v>人员聚集</x:v>
      </x:c>
      <x:c r="E222" s="9" t="str">
        <x:v>param.areaLimitDuration</x:v>
      </x:c>
      <x:c r="F222" s="9" t="str">
        <x:v>检测时间</x:v>
      </x:c>
      <x:c r="G222" s="9" t="str">
        <x:v>bm1688,cv186x,x86</x:v>
      </x:c>
      <x:c r="H222" s="9" t="str">
        <x:v>60</x:v>
      </x:c>
      <x:c r="I222" s="9" t="str">
        <x:v>min=; max=; regex=</x:v>
      </x:c>
      <x:c r="J222" s="9" t="str"/>
      <x:c r="K222" s="9" t="str">
        <x:v>检测时间：范围：1-3600000，注意时间单位</x:v>
      </x:c>
      <x:c r="L222" s="9" t="str">
        <x:v>默认/合法替代/空/非法类型；按已确认范围测min、max及相邻越界；保存回读并验证行为</x:v>
      </x:c>
      <x:c r="M222" s="9" t="str">
        <x:v>ALG-5</x:v>
      </x:c>
      <x:c r="N222" s="9" t="str">
        <x:v>未执行</x:v>
      </x:c>
      <x:c r="O222" s="12" t="str"/>
    </x:row>
    <x:row r="223" ht="32" customHeight="1">
      <x:c r="A223" s="4" t="str">
        <x:v>PAR-0219</x:v>
      </x:c>
      <x:c r="B223" s="4" t="str">
        <x:v>模板</x:v>
      </x:c>
      <x:c r="C223" s="4" t="str">
        <x:v>5</x:v>
      </x:c>
      <x:c r="D223" s="4" t="str">
        <x:v>人员聚集</x:v>
      </x:c>
      <x:c r="E223" s="4" t="str">
        <x:v>param.areaLimitDurationTimeType</x:v>
      </x:c>
      <x:c r="F223" s="4" t="str">
        <x:v>检测时间单位</x:v>
      </x:c>
      <x:c r="G223" s="4" t="str">
        <x:v>bm1688,cv186x,x86</x:v>
      </x:c>
      <x:c r="H223" s="4" t="str">
        <x:v>1000</x:v>
      </x:c>
      <x:c r="I223" s="4" t="str">
        <x:v>枚举：1,1000,60000,3600000</x:v>
      </x:c>
      <x:c r="J223" s="4" t="str"/>
      <x:c r="K223" s="4" t="str">
        <x:v>检测时间单位</x:v>
      </x:c>
      <x:c r="L223" s="4" t="str">
        <x:v>依次选每个枚举；非法值；保存刷新；触发依赖字段</x:v>
      </x:c>
      <x:c r="M223" s="4" t="str">
        <x:v>ALG-5</x:v>
      </x:c>
      <x:c r="N223" s="4" t="str">
        <x:v>未执行</x:v>
      </x:c>
      <x:c r="O223" s="12" t="str"/>
    </x:row>
    <x:row r="224" ht="32" customHeight="1">
      <x:c r="A224" s="9" t="str">
        <x:v>PAR-0220</x:v>
      </x:c>
      <x:c r="B224" s="9" t="str">
        <x:v>模板</x:v>
      </x:c>
      <x:c r="C224" s="9" t="str">
        <x:v>65</x:v>
      </x:c>
      <x:c r="D224" s="9" t="str">
        <x:v>睡岗检测</x:v>
      </x:c>
      <x:c r="E224" s="9" t="str">
        <x:v>aiParam.pedestrian.confidence</x:v>
      </x:c>
      <x:c r="F224" s="9" t="str">
        <x:v>行人置信度</x:v>
      </x:c>
      <x:c r="G224" s="9" t="str">
        <x:v>bm1688,cv186x,x86</x:v>
      </x:c>
      <x:c r="H224" s="9" t="str"/>
      <x:c r="I224" s="9" t="str">
        <x:v>min=; max=; regex=</x:v>
      </x:c>
      <x:c r="J224" s="9" t="str"/>
      <x:c r="K224" s="9" t="str">
        <x:v>行人置信度，范围：0.0~1.0，限小数点后3位。</x:v>
      </x:c>
      <x:c r="L224" s="9" t="str">
        <x:v>默认/合法替代/空/非法类型；按已确认范围测min、max及相邻越界；保存回读并验证行为</x:v>
      </x:c>
      <x:c r="M224" s="9" t="str">
        <x:v>ALG-65</x:v>
      </x:c>
      <x:c r="N224" s="9" t="str">
        <x:v>未执行</x:v>
      </x:c>
      <x:c r="O224" s="12" t="str"/>
    </x:row>
    <x:row r="225" ht="32" customHeight="1">
      <x:c r="A225" s="4" t="str">
        <x:v>PAR-0221</x:v>
      </x:c>
      <x:c r="B225" s="4" t="str">
        <x:v>模板</x:v>
      </x:c>
      <x:c r="C225" s="4" t="str">
        <x:v>65</x:v>
      </x:c>
      <x:c r="D225" s="4" t="str">
        <x:v>睡岗检测</x:v>
      </x:c>
      <x:c r="E225" s="4" t="str">
        <x:v>aiParam.pedestrian.confidenceConfig</x:v>
      </x:c>
      <x:c r="F225" s="4" t="str">
        <x:v>行人置信度偏移</x:v>
      </x:c>
      <x:c r="G225" s="4" t="str">
        <x:v>bm1688,cv186x,x86</x:v>
      </x:c>
      <x:c r="H225" s="4" t="str">
        <x:v>0,0</x:v>
      </x:c>
      <x:c r="I225" s="4" t="str">
        <x:v>min=; max=; regex=</x:v>
      </x:c>
      <x:c r="J225" s="4" t="str"/>
      <x:c r="K225" s="4" t="str">
        <x:v>行人置信度偏移，默认为严格阈值。可选严格阈值、推荐阈值。</x:v>
      </x:c>
      <x:c r="L225" s="4" t="str">
        <x:v>默认/合法替代/空/非法类型；按已确认范围测min、max及相邻越界；保存回读并验证行为</x:v>
      </x:c>
      <x:c r="M225" s="4" t="str">
        <x:v>ALG-65</x:v>
      </x:c>
      <x:c r="N225" s="4" t="str">
        <x:v>未执行</x:v>
      </x:c>
      <x:c r="O225" s="12" t="str"/>
    </x:row>
    <x:row r="226" ht="32" customHeight="1">
      <x:c r="A226" s="9" t="str">
        <x:v>PAR-0222</x:v>
      </x:c>
      <x:c r="B226" s="9" t="str">
        <x:v>模板</x:v>
      </x:c>
      <x:c r="C226" s="9" t="str">
        <x:v>65</x:v>
      </x:c>
      <x:c r="D226" s="9" t="str">
        <x:v>睡岗检测</x:v>
      </x:c>
      <x:c r="E226" s="9" t="str">
        <x:v>aiParam.pedestrian.detPostion</x:v>
      </x:c>
      <x:c r="F226" s="9" t="str">
        <x:v>行人检测方式</x:v>
      </x:c>
      <x:c r="G226" s="9" t="str">
        <x:v>bm1688,cv186x,x86</x:v>
      </x:c>
      <x:c r="H226" s="9" t="str">
        <x:v>1</x:v>
      </x:c>
      <x:c r="I226" s="9" t="str">
        <x:v>枚举：0,1,2</x:v>
      </x:c>
      <x:c r="J226" s="9" t="str"/>
      <x:c r="K226" s="9" t="str">
        <x:v>检测方式：定义检测框中心点的位置。默认在底部。可选顶部、底部、中心。</x:v>
      </x:c>
      <x:c r="L226" s="9" t="str">
        <x:v>依次选每个枚举；非法值；保存刷新；触发依赖字段</x:v>
      </x:c>
      <x:c r="M226" s="9" t="str">
        <x:v>ALG-65</x:v>
      </x:c>
      <x:c r="N226" s="9" t="str">
        <x:v>未执行</x:v>
      </x:c>
      <x:c r="O226" s="12" t="str"/>
    </x:row>
    <x:row r="227" ht="32" customHeight="1">
      <x:c r="A227" s="4" t="str">
        <x:v>PAR-0223</x:v>
      </x:c>
      <x:c r="B227" s="4" t="str">
        <x:v>模板</x:v>
      </x:c>
      <x:c r="C227" s="4" t="str">
        <x:v>65</x:v>
      </x:c>
      <x:c r="D227" s="4" t="str">
        <x:v>睡岗检测</x:v>
      </x:c>
      <x:c r="E227" s="4" t="str">
        <x:v>aiParam.1001003.frames</x:v>
      </x:c>
      <x:c r="F227" s="4" t="str">
        <x:v>行人检测追踪历史帧数</x:v>
      </x:c>
      <x:c r="G227" s="4" t="str">
        <x:v>bm1688,cv186x,x86</x:v>
      </x:c>
      <x:c r="H227" s="4" t="str">
        <x:v>10</x:v>
      </x:c>
      <x:c r="I227" s="4" t="str">
        <x:v>min=; max=; regex=/^([2-9]|[1-9][0-9]|100)$/</x:v>
      </x:c>
      <x:c r="J227" s="4" t="str"/>
      <x:c r="K227" s="4" t="str">
        <x:v>追踪历史帧数。范围：2~100</x:v>
      </x:c>
      <x:c r="L227" s="4" t="str">
        <x:v>默认/合法替代/空/非法类型；按已确认范围测min、max及相邻越界；保存回读并验证行为</x:v>
      </x:c>
      <x:c r="M227" s="4" t="str">
        <x:v>ALG-65</x:v>
      </x:c>
      <x:c r="N227" s="4" t="str">
        <x:v>未执行</x:v>
      </x:c>
      <x:c r="O227" s="12" t="str"/>
    </x:row>
    <x:row r="228" ht="32" customHeight="1">
      <x:c r="A228" s="9" t="str">
        <x:v>PAR-0224</x:v>
      </x:c>
      <x:c r="B228" s="9" t="str">
        <x:v>模板</x:v>
      </x:c>
      <x:c r="C228" s="9" t="str">
        <x:v>65</x:v>
      </x:c>
      <x:c r="D228" s="9" t="str">
        <x:v>睡岗检测</x:v>
      </x:c>
      <x:c r="E228" s="9" t="str">
        <x:v>aiParam.1001003.motion</x:v>
      </x:c>
      <x:c r="F228" s="9" t="str">
        <x:v>行人检测静止阈值</x:v>
      </x:c>
      <x:c r="G228" s="9" t="str">
        <x:v>bm1688,cv186x,x86</x:v>
      </x:c>
      <x:c r="H228" s="9" t="str">
        <x:v>50.0</x:v>
      </x:c>
      <x:c r="I228" s="9" t="str">
        <x:v>min=; max=; regex=</x:v>
      </x:c>
      <x:c r="J228" s="9" t="str"/>
      <x:c r="K228" s="9" t="str">
        <x:v>静止阈值。范围：1~99，例如：80.0</x:v>
      </x:c>
      <x:c r="L228" s="9" t="str">
        <x:v>默认/合法替代/空/非法类型；按已确认范围测min、max及相邻越界；保存回读并验证行为</x:v>
      </x:c>
      <x:c r="M228" s="9" t="str">
        <x:v>ALG-65</x:v>
      </x:c>
      <x:c r="N228" s="9" t="str">
        <x:v>未执行</x:v>
      </x:c>
      <x:c r="O228" s="12" t="str"/>
    </x:row>
    <x:row r="229" ht="32" customHeight="1">
      <x:c r="A229" s="4" t="str">
        <x:v>PAR-0225</x:v>
      </x:c>
      <x:c r="B229" s="4" t="str">
        <x:v>模板</x:v>
      </x:c>
      <x:c r="C229" s="4" t="str">
        <x:v>65</x:v>
      </x:c>
      <x:c r="D229" s="4" t="str">
        <x:v>睡岗检测</x:v>
      </x:c>
      <x:c r="E229" s="4" t="str">
        <x:v>aiParam.1001003.trackDynamicMatch</x:v>
      </x:c>
      <x:c r="F229" s="4" t="str">
        <x:v>行人检测追踪半径</x:v>
      </x:c>
      <x:c r="G229" s="4" t="str">
        <x:v>bm1688,cv186x,x86</x:v>
      </x:c>
      <x:c r="H229" s="4" t="str">
        <x:v>2.3</x:v>
      </x:c>
      <x:c r="I229" s="4" t="str">
        <x:v>min=; max=; regex=</x:v>
      </x:c>
      <x:c r="J229" s="4" t="str"/>
      <x:c r="K229" s="4" t="str">
        <x:v>追踪半径，跟追踪帧数也有关系。范围：0~100，例如：2.3</x:v>
      </x:c>
      <x:c r="L229" s="4" t="str">
        <x:v>默认/合法替代/空/非法类型；按已确认范围测min、max及相邻越界；保存回读并验证行为</x:v>
      </x:c>
      <x:c r="M229" s="4" t="str">
        <x:v>ALG-65</x:v>
      </x:c>
      <x:c r="N229" s="4" t="str">
        <x:v>未执行</x:v>
      </x:c>
      <x:c r="O229" s="12" t="str"/>
    </x:row>
    <x:row r="230" ht="32" customHeight="1">
      <x:c r="A230" s="9" t="str">
        <x:v>PAR-0226</x:v>
      </x:c>
      <x:c r="B230" s="9" t="str">
        <x:v>模板</x:v>
      </x:c>
      <x:c r="C230" s="9" t="str">
        <x:v>65</x:v>
      </x:c>
      <x:c r="D230" s="9" t="str">
        <x:v>睡岗检测</x:v>
      </x:c>
      <x:c r="E230" s="9" t="str">
        <x:v>aiParam.pedSleepStomach.confidence</x:v>
      </x:c>
      <x:c r="F230" s="9" t="str">
        <x:v>行人睡姿-趴睡置信度</x:v>
      </x:c>
      <x:c r="G230" s="9" t="str">
        <x:v>bm1688,cv186x,x86</x:v>
      </x:c>
      <x:c r="H230" s="9" t="str"/>
      <x:c r="I230" s="9" t="str">
        <x:v>min=; max=; regex=</x:v>
      </x:c>
      <x:c r="J230" s="9" t="str"/>
      <x:c r="K230" s="9" t="str">
        <x:v>行人睡姿-趴睡置信度，范围：0.0~1.0，限小数点后3位。</x:v>
      </x:c>
      <x:c r="L230" s="9" t="str">
        <x:v>默认/合法替代/空/非法类型；按已确认范围测min、max及相邻越界；保存回读并验证行为</x:v>
      </x:c>
      <x:c r="M230" s="9" t="str">
        <x:v>ALG-65</x:v>
      </x:c>
      <x:c r="N230" s="9" t="str">
        <x:v>未执行</x:v>
      </x:c>
      <x:c r="O230" s="12" t="str"/>
    </x:row>
    <x:row r="231" ht="32" customHeight="1">
      <x:c r="A231" s="4" t="str">
        <x:v>PAR-0227</x:v>
      </x:c>
      <x:c r="B231" s="4" t="str">
        <x:v>模板</x:v>
      </x:c>
      <x:c r="C231" s="4" t="str">
        <x:v>65</x:v>
      </x:c>
      <x:c r="D231" s="4" t="str">
        <x:v>睡岗检测</x:v>
      </x:c>
      <x:c r="E231" s="4" t="str">
        <x:v>aiParam.pedSleepStomach.confidenceConfig</x:v>
      </x:c>
      <x:c r="F231" s="4" t="str">
        <x:v>行人睡姿-趴睡置信度偏移</x:v>
      </x:c>
      <x:c r="G231" s="4" t="str">
        <x:v>bm1688,cv186x,x86</x:v>
      </x:c>
      <x:c r="H231" s="4" t="str">
        <x:v>0,0</x:v>
      </x:c>
      <x:c r="I231" s="4" t="str">
        <x:v>min=; max=; regex=</x:v>
      </x:c>
      <x:c r="J231" s="4" t="str"/>
      <x:c r="K231" s="4" t="str">
        <x:v>行人睡姿-趴睡置信度偏移，默认为严格阈值。可选严格阈值、推荐阈值。</x:v>
      </x:c>
      <x:c r="L231" s="4" t="str">
        <x:v>默认/合法替代/空/非法类型；按已确认范围测min、max及相邻越界；保存回读并验证行为</x:v>
      </x:c>
      <x:c r="M231" s="4" t="str">
        <x:v>ALG-65</x:v>
      </x:c>
      <x:c r="N231" s="4" t="str">
        <x:v>未执行</x:v>
      </x:c>
      <x:c r="O231" s="12" t="str"/>
    </x:row>
    <x:row r="232" ht="32" customHeight="1">
      <x:c r="A232" s="9" t="str">
        <x:v>PAR-0228</x:v>
      </x:c>
      <x:c r="B232" s="9" t="str">
        <x:v>模板</x:v>
      </x:c>
      <x:c r="C232" s="9" t="str">
        <x:v>65</x:v>
      </x:c>
      <x:c r="D232" s="9" t="str">
        <x:v>睡岗检测</x:v>
      </x:c>
      <x:c r="E232" s="9" t="str">
        <x:v>aiParam.pedSleepLieDown.confidence</x:v>
      </x:c>
      <x:c r="F232" s="9" t="str">
        <x:v>行人睡姿-躺着睡置信度</x:v>
      </x:c>
      <x:c r="G232" s="9" t="str">
        <x:v>bm1688,cv186x,x86</x:v>
      </x:c>
      <x:c r="H232" s="9" t="str"/>
      <x:c r="I232" s="9" t="str">
        <x:v>min=; max=; regex=</x:v>
      </x:c>
      <x:c r="J232" s="9" t="str"/>
      <x:c r="K232" s="9" t="str">
        <x:v>行人睡姿-躺着睡置信度，范围：0.0~1.0，限小数点后3位。</x:v>
      </x:c>
      <x:c r="L232" s="9" t="str">
        <x:v>默认/合法替代/空/非法类型；按已确认范围测min、max及相邻越界；保存回读并验证行为</x:v>
      </x:c>
      <x:c r="M232" s="9" t="str">
        <x:v>ALG-65</x:v>
      </x:c>
      <x:c r="N232" s="9" t="str">
        <x:v>未执行</x:v>
      </x:c>
      <x:c r="O232" s="12" t="str"/>
    </x:row>
    <x:row r="233" ht="32" customHeight="1">
      <x:c r="A233" s="4" t="str">
        <x:v>PAR-0229</x:v>
      </x:c>
      <x:c r="B233" s="4" t="str">
        <x:v>模板</x:v>
      </x:c>
      <x:c r="C233" s="4" t="str">
        <x:v>65</x:v>
      </x:c>
      <x:c r="D233" s="4" t="str">
        <x:v>睡岗检测</x:v>
      </x:c>
      <x:c r="E233" s="4" t="str">
        <x:v>aiParam.pedSleepLieDown.confidenceConfig</x:v>
      </x:c>
      <x:c r="F233" s="4" t="str">
        <x:v>行人睡姿-躺着睡置信度偏移</x:v>
      </x:c>
      <x:c r="G233" s="4" t="str">
        <x:v>bm1688,cv186x,x86</x:v>
      </x:c>
      <x:c r="H233" s="4" t="str">
        <x:v>0,0</x:v>
      </x:c>
      <x:c r="I233" s="4" t="str">
        <x:v>min=; max=; regex=</x:v>
      </x:c>
      <x:c r="J233" s="4" t="str"/>
      <x:c r="K233" s="4" t="str">
        <x:v>行人睡姿-躺着睡置信度偏移，默认为严格阈值。可选严格阈值、推荐阈值。</x:v>
      </x:c>
      <x:c r="L233" s="4" t="str">
        <x:v>默认/合法替代/空/非法类型；按已确认范围测min、max及相邻越界；保存回读并验证行为</x:v>
      </x:c>
      <x:c r="M233" s="4" t="str">
        <x:v>ALG-65</x:v>
      </x:c>
      <x:c r="N233" s="4" t="str">
        <x:v>未执行</x:v>
      </x:c>
      <x:c r="O233" s="12" t="str"/>
    </x:row>
    <x:row r="234" ht="40" customHeight="1">
      <x:c r="A234" s="9" t="str">
        <x:v>PAR-0230</x:v>
      </x:c>
      <x:c r="B234" s="9" t="str">
        <x:v>模板</x:v>
      </x:c>
      <x:c r="C234" s="9" t="str">
        <x:v>65</x:v>
      </x:c>
      <x:c r="D234" s="9" t="str">
        <x:v>睡岗检测</x:v>
      </x:c>
      <x:c r="E234" s="9" t="str">
        <x:v>param.targetAlarmInterval</x:v>
      </x:c>
      <x:c r="F234" s="9" t="str">
        <x:v>告警时间间隔（秒）</x:v>
      </x:c>
      <x:c r="G234" s="9" t="str">
        <x:v>bm1688,cv186x,x86</x:v>
      </x:c>
      <x:c r="H234" s="9" t="str">
        <x:v>60</x:v>
      </x:c>
      <x:c r="I234" s="9" t="str">
        <x:v>min=; max=; regex=/^([1-9]|[1-9][0-9]|[1-9][0-9][0-9]|[1-9][0-9][0-9][0-9]|[1-2][0-9][0-9][0-9][0-9]|[3][0-5][0-9][0-9][0-9]|36000)$/</x:v>
      </x:c>
      <x:c r="J234" s="9" t="str"/>
      <x:c r="K234" s="9" t="str">
        <x:v>告警时间间隔：2次告警事件的间隔。范围：1~36000秒，默认：60秒。</x:v>
      </x:c>
      <x:c r="L234" s="9" t="str">
        <x:v>默认/合法替代/空/非法类型；按已确认范围测min、max及相邻越界；保存回读并验证行为</x:v>
      </x:c>
      <x:c r="M234" s="9" t="str">
        <x:v>ALG-65</x:v>
      </x:c>
      <x:c r="N234" s="9" t="str">
        <x:v>未执行</x:v>
      </x:c>
      <x:c r="O234" s="12" t="str"/>
    </x:row>
    <x:row r="235" ht="32" customHeight="1">
      <x:c r="A235" s="4" t="str">
        <x:v>PAR-0231</x:v>
      </x:c>
      <x:c r="B235" s="4" t="str">
        <x:v>模板</x:v>
      </x:c>
      <x:c r="C235" s="4" t="str">
        <x:v>65</x:v>
      </x:c>
      <x:c r="D235" s="4" t="str">
        <x:v>睡岗检测</x:v>
      </x:c>
      <x:c r="E235" s="4" t="str">
        <x:v>param.targetAlarmCount</x:v>
      </x:c>
      <x:c r="F235" s="4" t="str">
        <x:v>告警次数</x:v>
      </x:c>
      <x:c r="G235" s="4" t="str">
        <x:v>bm1688,cv186x,x86</x:v>
      </x:c>
      <x:c r="H235" s="4" t="str">
        <x:v>1</x:v>
      </x:c>
      <x:c r="I235" s="4" t="str">
        <x:v>min=; max=; regex=/^(0|[1-9]|[1-9][0-9]|100)$/</x:v>
      </x:c>
      <x:c r="J235" s="4" t="str"/>
      <x:c r="K235" s="4" t="str">
        <x:v>告警次数：范围：0-100，默认为1。0表示不限次数。</x:v>
      </x:c>
      <x:c r="L235" s="4" t="str">
        <x:v>默认/合法替代/空/非法类型；按已确认范围测min、max及相邻越界；保存回读并验证行为</x:v>
      </x:c>
      <x:c r="M235" s="4" t="str">
        <x:v>ALG-65</x:v>
      </x:c>
      <x:c r="N235" s="4" t="str">
        <x:v>未执行</x:v>
      </x:c>
      <x:c r="O235" s="12" t="str"/>
    </x:row>
    <x:row r="236" ht="40" customHeight="1">
      <x:c r="A236" s="9" t="str">
        <x:v>PAR-0232</x:v>
      </x:c>
      <x:c r="B236" s="9" t="str">
        <x:v>模板</x:v>
      </x:c>
      <x:c r="C236" s="9" t="str">
        <x:v>65</x:v>
      </x:c>
      <x:c r="D236" s="9" t="str">
        <x:v>睡岗检测</x:v>
      </x:c>
      <x:c r="E236" s="9" t="str">
        <x:v>param.restrainSwitch</x:v>
      </x:c>
      <x:c r="F236" s="9" t="str">
        <x:v>静止目标去重</x:v>
      </x:c>
      <x:c r="G236" s="9" t="str">
        <x:v>bm1688,cv186x,x86</x:v>
      </x:c>
      <x:c r="H236" s="9" t="str">
        <x:v>0</x:v>
      </x:c>
      <x:c r="I236" s="9" t="str">
        <x:v>min=; max=; regex=/^[01]$/</x:v>
      </x:c>
      <x:c r="J236" s="9" t="str"/>
      <x:c r="K236" s="9" t="str">
        <x:v>静止目标去重：对于告警目标，开启此功能后，将进行目标静止状态检测，如判定为静止目标，则不会重复报警。</x:v>
      </x:c>
      <x:c r="L236" s="9" t="str">
        <x:v>默认/合法替代/空/非法类型；按已确认范围测min、max及相邻越界；保存回读并验证行为</x:v>
      </x:c>
      <x:c r="M236" s="9" t="str">
        <x:v>ALG-65</x:v>
      </x:c>
      <x:c r="N236" s="9" t="str">
        <x:v>未执行</x:v>
      </x:c>
      <x:c r="O236" s="12" t="str"/>
    </x:row>
    <x:row r="237" ht="32" customHeight="1">
      <x:c r="A237" s="4" t="str">
        <x:v>PAR-0233</x:v>
      </x:c>
      <x:c r="B237" s="4" t="str">
        <x:v>模板</x:v>
      </x:c>
      <x:c r="C237" s="4" t="str">
        <x:v>65</x:v>
      </x:c>
      <x:c r="D237" s="4" t="str">
        <x:v>睡岗检测</x:v>
      </x:c>
      <x:c r="E237" s="4" t="str">
        <x:v>param.overlapRate</x:v>
      </x:c>
      <x:c r="F237" s="4" t="str">
        <x:v>静止目标重叠率</x:v>
      </x:c>
      <x:c r="G237" s="4" t="str">
        <x:v>bm1688,cv186x,x86</x:v>
      </x:c>
      <x:c r="H237" s="4" t="str">
        <x:v>0.2</x:v>
      </x:c>
      <x:c r="I237" s="4" t="str">
        <x:v>min=; max=; regex=/^(0(\.\d{1,3})?|1(\.0{1,3})?)$/</x:v>
      </x:c>
      <x:c r="J237" s="4" t="str">
        <x:v>{"key":"param.restrainSwitch","value":"1"}</x:v>
      </x:c>
      <x:c r="K237" s="4" t="str">
        <x:v>静止目标重叠率，范围：0.0~1.0，限小数点后3位，默认：0.2。</x:v>
      </x:c>
      <x:c r="L237" s="4" t="str">
        <x:v>默认/合法替代/空/非法类型；按已确认范围测min、max及相邻越界；保存回读并验证行为</x:v>
      </x:c>
      <x:c r="M237" s="4" t="str">
        <x:v>ALG-65</x:v>
      </x:c>
      <x:c r="N237" s="4" t="str">
        <x:v>未执行</x:v>
      </x:c>
      <x:c r="O237" s="12" t="str"/>
    </x:row>
    <x:row r="238" ht="32" customHeight="1">
      <x:c r="A238" s="9" t="str">
        <x:v>PAR-0234</x:v>
      </x:c>
      <x:c r="B238" s="9" t="str">
        <x:v>模板</x:v>
      </x:c>
      <x:c r="C238" s="9" t="str">
        <x:v>65</x:v>
      </x:c>
      <x:c r="D238" s="9" t="str">
        <x:v>睡岗检测</x:v>
      </x:c>
      <x:c r="E238" s="9" t="str">
        <x:v>param.restrainTime</x:v>
      </x:c>
      <x:c r="F238" s="9" t="str">
        <x:v>静止目标去重时间(小时)</x:v>
      </x:c>
      <x:c r="G238" s="9" t="str">
        <x:v>bm1688,cv186x,x86</x:v>
      </x:c>
      <x:c r="H238" s="9" t="str">
        <x:v>6</x:v>
      </x:c>
      <x:c r="I238" s="9" t="str">
        <x:v>min=; max=; regex=/^([0-9]|[1][0-9]|[2][0-4])$/</x:v>
      </x:c>
      <x:c r="J238" s="9" t="str">
        <x:v>{"key":"param.restrainSwitch","value":"1"}</x:v>
      </x:c>
      <x:c r="K238" s="9" t="str">
        <x:v>静止目标去重时间，范围：1~24小时，默认：6小时。</x:v>
      </x:c>
      <x:c r="L238" s="9" t="str">
        <x:v>默认/合法替代/空/非法类型；按已确认范围测min、max及相邻越界；保存回读并验证行为</x:v>
      </x:c>
      <x:c r="M238" s="9" t="str">
        <x:v>ALG-65</x:v>
      </x:c>
      <x:c r="N238" s="9" t="str">
        <x:v>未执行</x:v>
      </x:c>
      <x:c r="O238" s="12" t="str"/>
    </x:row>
    <x:row r="239" ht="32" customHeight="1">
      <x:c r="A239" s="4" t="str">
        <x:v>PAR-0235</x:v>
      </x:c>
      <x:c r="B239" s="4" t="str">
        <x:v>模板</x:v>
      </x:c>
      <x:c r="C239" s="4" t="str">
        <x:v>65</x:v>
      </x:c>
      <x:c r="D239" s="4" t="str">
        <x:v>睡岗检测</x:v>
      </x:c>
      <x:c r="E239" s="4" t="str">
        <x:v>param.overlayTrajectory</x:v>
      </x:c>
      <x:c r="F239" s="4" t="str">
        <x:v>全景图叠加轨迹</x:v>
      </x:c>
      <x:c r="G239" s="4" t="str">
        <x:v>bm1688,cv186x,x86</x:v>
      </x:c>
      <x:c r="H239" s="4" t="str">
        <x:v>0</x:v>
      </x:c>
      <x:c r="I239" s="4" t="str">
        <x:v>min=; max=; regex=/^[01]$/</x:v>
      </x:c>
      <x:c r="J239" s="4" t="str"/>
      <x:c r="K239" s="4" t="str">
        <x:v>打开后会在全景图上叠加目标运动轨迹</x:v>
      </x:c>
      <x:c r="L239" s="4" t="str">
        <x:v>默认/合法替代/空/非法类型；按已确认范围测min、max及相邻越界；保存回读并验证行为</x:v>
      </x:c>
      <x:c r="M239" s="4" t="str">
        <x:v>ALG-65</x:v>
      </x:c>
      <x:c r="N239" s="4" t="str">
        <x:v>未执行</x:v>
      </x:c>
      <x:c r="O239" s="12" t="str"/>
    </x:row>
    <x:row r="240" ht="40" customHeight="1">
      <x:c r="A240" s="9" t="str">
        <x:v>PAR-0236</x:v>
      </x:c>
      <x:c r="B240" s="9" t="str">
        <x:v>模板</x:v>
      </x:c>
      <x:c r="C240" s="9" t="str">
        <x:v>65</x:v>
      </x:c>
      <x:c r="D240" s="9" t="str">
        <x:v>睡岗检测</x:v>
      </x:c>
      <x:c r="E240" s="9" t="str">
        <x:v>filter.pedestrian.side.min</x:v>
      </x:c>
      <x:c r="F240" s="9" t="str">
        <x:v>最小行人尺寸</x:v>
      </x:c>
      <x:c r="G240" s="9" t="str">
        <x:v>bm1688,cv186x,x86</x:v>
      </x:c>
      <x:c r="H240" s="9" t="str">
        <x:v>60</x:v>
      </x:c>
      <x:c r="I240" s="9" t="str">
        <x:v>min=; max=; regex=/^(0|[1-9]|[1-9][0-9]|[1-9][0-9][0-9]|[1-9][0-9][0-9][0-9]|10000)$/</x:v>
      </x:c>
      <x:c r="J240" s="9" t="str"/>
      <x:c r="K240" s="9" t="str">
        <x:v>最小行人尺寸：行人抓拍照片的最小图像尺寸。如输入值为100，则最小行人尺寸为100*100像素。范围：10px~1000像素 默认：100像素。</x:v>
      </x:c>
      <x:c r="L240" s="9" t="str">
        <x:v>默认/合法替代/空/非法类型；按已确认范围测min、max及相邻越界；保存回读并验证行为</x:v>
      </x:c>
      <x:c r="M240" s="9" t="str">
        <x:v>ALG-65</x:v>
      </x:c>
      <x:c r="N240" s="9" t="str">
        <x:v>未执行</x:v>
      </x:c>
      <x:c r="O240" s="12" t="str"/>
    </x:row>
    <x:row r="241" ht="40" customHeight="1">
      <x:c r="A241" s="4" t="str">
        <x:v>PAR-0237</x:v>
      </x:c>
      <x:c r="B241" s="4" t="str">
        <x:v>模板</x:v>
      </x:c>
      <x:c r="C241" s="4" t="str">
        <x:v>65</x:v>
      </x:c>
      <x:c r="D241" s="4" t="str">
        <x:v>睡岗检测</x:v>
      </x:c>
      <x:c r="E241" s="4" t="str">
        <x:v>param.sensitivity</x:v>
      </x:c>
      <x:c r="F241" s="4" t="str">
        <x:v>灵敏度</x:v>
      </x:c>
      <x:c r="G241" s="4" t="str">
        <x:v>bm1688,cv186x,x86</x:v>
      </x:c>
      <x:c r="H241" s="4" t="str">
        <x:v>5</x:v>
      </x:c>
      <x:c r="I241" s="4" t="str">
        <x:v>min=; max=; regex=/^([1-9]|10)$/</x:v>
      </x:c>
      <x:c r="J241" s="4" t="str"/>
      <x:c r="K241" s="4" t="str">
        <x:v>灵敏度：用于计算总数范围内的命中数。如总数为10，取帧频率为3，则需时间≥10/3秒，才有可能产生告警。</x:v>
      </x:c>
      <x:c r="L241" s="4" t="str">
        <x:v>默认/合法替代/空/非法类型；按已确认范围测min、max及相邻越界；保存回读并验证行为</x:v>
      </x:c>
      <x:c r="M241" s="4" t="str">
        <x:v>ALG-65</x:v>
      </x:c>
      <x:c r="N241" s="4" t="str">
        <x:v>未执行</x:v>
      </x:c>
      <x:c r="O241" s="12" t="str"/>
    </x:row>
    <x:row r="242" ht="40" customHeight="1">
      <x:c r="A242" s="9" t="str">
        <x:v>PAR-0238</x:v>
      </x:c>
      <x:c r="B242" s="9" t="str">
        <x:v>模板</x:v>
      </x:c>
      <x:c r="C242" s="9" t="str">
        <x:v>65</x:v>
      </x:c>
      <x:c r="D242" s="9" t="str">
        <x:v>睡岗检测</x:v>
      </x:c>
      <x:c r="E242" s="9" t="str">
        <x:v>param.detectionDuration</x:v>
      </x:c>
      <x:c r="F242" s="9" t="str">
        <x:v>检测时间（秒）</x:v>
      </x:c>
      <x:c r="G242" s="9" t="str">
        <x:v>bm1688,cv186x,x86</x:v>
      </x:c>
      <x:c r="H242" s="9" t="str">
        <x:v>2</x:v>
      </x:c>
      <x:c r="I242" s="9" t="str">
        <x:v>min=; max=; regex=/^([1-9]|[1-9][0-9]|[1-9][0-9][0-9]|[1-2][0-9][0-9][0-9]|[3][0-5][0-9][0-9]|3600)$/</x:v>
      </x:c>
      <x:c r="J242" s="9" t="str"/>
      <x:c r="K242" s="9" t="str">
        <x:v>检测时间：范围：1-3600。默认2。</x:v>
      </x:c>
      <x:c r="L242" s="9" t="str">
        <x:v>默认/合法替代/空/非法类型；按已确认范围测min、max及相邻越界；保存回读并验证行为</x:v>
      </x:c>
      <x:c r="M242" s="9" t="str">
        <x:v>ALG-65</x:v>
      </x:c>
      <x:c r="N242" s="9" t="str">
        <x:v>未执行</x:v>
      </x:c>
      <x:c r="O242" s="12" t="str"/>
    </x:row>
    <x:row r="243" ht="32" customHeight="1">
      <x:c r="A243" s="4" t="str">
        <x:v>PAR-0239</x:v>
      </x:c>
      <x:c r="B243" s="4" t="str">
        <x:v>模板</x:v>
      </x:c>
      <x:c r="C243" s="4" t="str">
        <x:v>6</x:v>
      </x:c>
      <x:c r="D243" s="4" t="str">
        <x:v>人员跌倒</x:v>
      </x:c>
      <x:c r="E243" s="4" t="str">
        <x:v>aiParam.pedestrian.confidence</x:v>
      </x:c>
      <x:c r="F243" s="4" t="str">
        <x:v>行人置信度</x:v>
      </x:c>
      <x:c r="G243" s="4" t="str">
        <x:v>bm1688,cv186x,x86</x:v>
      </x:c>
      <x:c r="H243" s="4" t="str"/>
      <x:c r="I243" s="4" t="str">
        <x:v>min=; max=; regex=</x:v>
      </x:c>
      <x:c r="J243" s="4" t="str"/>
      <x:c r="K243" s="4" t="str">
        <x:v>行人置信度，范围：0.0~1.0，限小数点后3位。</x:v>
      </x:c>
      <x:c r="L243" s="4" t="str">
        <x:v>默认/合法替代/空/非法类型；按已确认范围测min、max及相邻越界；保存回读并验证行为</x:v>
      </x:c>
      <x:c r="M243" s="4" t="str">
        <x:v>ALG-6</x:v>
      </x:c>
      <x:c r="N243" s="4" t="str">
        <x:v>未执行</x:v>
      </x:c>
      <x:c r="O243" s="12" t="str"/>
    </x:row>
    <x:row r="244" ht="32" customHeight="1">
      <x:c r="A244" s="9" t="str">
        <x:v>PAR-0240</x:v>
      </x:c>
      <x:c r="B244" s="9" t="str">
        <x:v>模板</x:v>
      </x:c>
      <x:c r="C244" s="9" t="str">
        <x:v>6</x:v>
      </x:c>
      <x:c r="D244" s="9" t="str">
        <x:v>人员跌倒</x:v>
      </x:c>
      <x:c r="E244" s="9" t="str">
        <x:v>aiParam.pedestrian.confidenceConfig</x:v>
      </x:c>
      <x:c r="F244" s="9" t="str">
        <x:v>行人置信度偏移</x:v>
      </x:c>
      <x:c r="G244" s="9" t="str">
        <x:v>bm1688,cv186x,x86</x:v>
      </x:c>
      <x:c r="H244" s="9" t="str">
        <x:v>0,0</x:v>
      </x:c>
      <x:c r="I244" s="9" t="str">
        <x:v>min=; max=; regex=</x:v>
      </x:c>
      <x:c r="J244" s="9" t="str"/>
      <x:c r="K244" s="9" t="str">
        <x:v>行人置信度偏移，默认为严格阈值。可选严格阈值、推荐阈值。</x:v>
      </x:c>
      <x:c r="L244" s="9" t="str">
        <x:v>默认/合法替代/空/非法类型；按已确认范围测min、max及相邻越界；保存回读并验证行为</x:v>
      </x:c>
      <x:c r="M244" s="9" t="str">
        <x:v>ALG-6</x:v>
      </x:c>
      <x:c r="N244" s="9" t="str">
        <x:v>未执行</x:v>
      </x:c>
      <x:c r="O244" s="12" t="str"/>
    </x:row>
    <x:row r="245" ht="32" customHeight="1">
      <x:c r="A245" s="4" t="str">
        <x:v>PAR-0241</x:v>
      </x:c>
      <x:c r="B245" s="4" t="str">
        <x:v>模板</x:v>
      </x:c>
      <x:c r="C245" s="4" t="str">
        <x:v>6</x:v>
      </x:c>
      <x:c r="D245" s="4" t="str">
        <x:v>人员跌倒</x:v>
      </x:c>
      <x:c r="E245" s="4" t="str">
        <x:v>aiParam.pedestrian.detPostion</x:v>
      </x:c>
      <x:c r="F245" s="4" t="str">
        <x:v>行人检测方式</x:v>
      </x:c>
      <x:c r="G245" s="4" t="str">
        <x:v>bm1688,cv186x,x86</x:v>
      </x:c>
      <x:c r="H245" s="4" t="str">
        <x:v>0</x:v>
      </x:c>
      <x:c r="I245" s="4" t="str">
        <x:v>枚举：0,1,2</x:v>
      </x:c>
      <x:c r="J245" s="4" t="str"/>
      <x:c r="K245" s="4" t="str">
        <x:v>检测方式：定义检测框中心点的位置。默认在底部。可选顶部、底部、中心。</x:v>
      </x:c>
      <x:c r="L245" s="4" t="str">
        <x:v>依次选每个枚举；非法值；保存刷新；触发依赖字段</x:v>
      </x:c>
      <x:c r="M245" s="4" t="str">
        <x:v>ALG-6</x:v>
      </x:c>
      <x:c r="N245" s="4" t="str">
        <x:v>未执行</x:v>
      </x:c>
      <x:c r="O245" s="12" t="str"/>
    </x:row>
    <x:row r="246" ht="32" customHeight="1">
      <x:c r="A246" s="9" t="str">
        <x:v>PAR-0242</x:v>
      </x:c>
      <x:c r="B246" s="9" t="str">
        <x:v>模板</x:v>
      </x:c>
      <x:c r="C246" s="9" t="str">
        <x:v>6</x:v>
      </x:c>
      <x:c r="D246" s="9" t="str">
        <x:v>人员跌倒</x:v>
      </x:c>
      <x:c r="E246" s="9" t="str">
        <x:v>aiParam.1001003.trackDynamicMatch</x:v>
      </x:c>
      <x:c r="F246" s="9" t="str">
        <x:v>行人检测追踪半径</x:v>
      </x:c>
      <x:c r="G246" s="9" t="str">
        <x:v>bm1688,cv186x,x86</x:v>
      </x:c>
      <x:c r="H246" s="9" t="str">
        <x:v>2.3</x:v>
      </x:c>
      <x:c r="I246" s="9" t="str">
        <x:v>min=; max=; regex=</x:v>
      </x:c>
      <x:c r="J246" s="9" t="str"/>
      <x:c r="K246" s="9" t="str">
        <x:v>追踪半径，跟追踪帧数也有关系。范围：0~100，例如：2.3</x:v>
      </x:c>
      <x:c r="L246" s="9" t="str">
        <x:v>默认/合法替代/空/非法类型；按已确认范围测min、max及相邻越界；保存回读并验证行为</x:v>
      </x:c>
      <x:c r="M246" s="9" t="str">
        <x:v>ALG-6</x:v>
      </x:c>
      <x:c r="N246" s="9" t="str">
        <x:v>未执行</x:v>
      </x:c>
      <x:c r="O246" s="12" t="str"/>
    </x:row>
    <x:row r="247" ht="32" customHeight="1">
      <x:c r="A247" s="4" t="str">
        <x:v>PAR-0243</x:v>
      </x:c>
      <x:c r="B247" s="4" t="str">
        <x:v>模板</x:v>
      </x:c>
      <x:c r="C247" s="4" t="str">
        <x:v>6</x:v>
      </x:c>
      <x:c r="D247" s="4" t="str">
        <x:v>人员跌倒</x:v>
      </x:c>
      <x:c r="E247" s="4" t="str">
        <x:v>aiParam.pedfalldown.confidence</x:v>
      </x:c>
      <x:c r="F247" s="4" t="str">
        <x:v>跌倒置信度</x:v>
      </x:c>
      <x:c r="G247" s="4" t="str">
        <x:v>bm1688,cv186x,x86</x:v>
      </x:c>
      <x:c r="H247" s="4" t="str"/>
      <x:c r="I247" s="4" t="str">
        <x:v>min=; max=; regex=</x:v>
      </x:c>
      <x:c r="J247" s="4" t="str"/>
      <x:c r="K247" s="4" t="str">
        <x:v>跌倒置信度，范围：0.0~1.0，限小数点后3位。</x:v>
      </x:c>
      <x:c r="L247" s="4" t="str">
        <x:v>默认/合法替代/空/非法类型；按已确认范围测min、max及相邻越界；保存回读并验证行为</x:v>
      </x:c>
      <x:c r="M247" s="4" t="str">
        <x:v>ALG-6</x:v>
      </x:c>
      <x:c r="N247" s="4" t="str">
        <x:v>未执行</x:v>
      </x:c>
      <x:c r="O247" s="12" t="str"/>
    </x:row>
    <x:row r="248" ht="32" customHeight="1">
      <x:c r="A248" s="9" t="str">
        <x:v>PAR-0244</x:v>
      </x:c>
      <x:c r="B248" s="9" t="str">
        <x:v>模板</x:v>
      </x:c>
      <x:c r="C248" s="9" t="str">
        <x:v>6</x:v>
      </x:c>
      <x:c r="D248" s="9" t="str">
        <x:v>人员跌倒</x:v>
      </x:c>
      <x:c r="E248" s="9" t="str">
        <x:v>aiParam.pedfalldown.confidenceConfig</x:v>
      </x:c>
      <x:c r="F248" s="9" t="str">
        <x:v>跌倒置信度偏移</x:v>
      </x:c>
      <x:c r="G248" s="9" t="str">
        <x:v>bm1688,cv186x,x86</x:v>
      </x:c>
      <x:c r="H248" s="9" t="str">
        <x:v>0,0</x:v>
      </x:c>
      <x:c r="I248" s="9" t="str">
        <x:v>min=; max=; regex=</x:v>
      </x:c>
      <x:c r="J248" s="9" t="str"/>
      <x:c r="K248" s="9" t="str">
        <x:v>跌倒置信度偏移，默认为严格阈值。可选严格阈值、推荐阈值。</x:v>
      </x:c>
      <x:c r="L248" s="9" t="str">
        <x:v>默认/合法替代/空/非法类型；按已确认范围测min、max及相邻越界；保存回读并验证行为</x:v>
      </x:c>
      <x:c r="M248" s="9" t="str">
        <x:v>ALG-6</x:v>
      </x:c>
      <x:c r="N248" s="9" t="str">
        <x:v>未执行</x:v>
      </x:c>
      <x:c r="O248" s="12" t="str"/>
    </x:row>
    <x:row r="249" ht="40" customHeight="1">
      <x:c r="A249" s="4" t="str">
        <x:v>PAR-0245</x:v>
      </x:c>
      <x:c r="B249" s="4" t="str">
        <x:v>模板</x:v>
      </x:c>
      <x:c r="C249" s="4" t="str">
        <x:v>6</x:v>
      </x:c>
      <x:c r="D249" s="4" t="str">
        <x:v>人员跌倒</x:v>
      </x:c>
      <x:c r="E249" s="4" t="str">
        <x:v>param.targetAlarmInterval</x:v>
      </x:c>
      <x:c r="F249" s="4" t="str">
        <x:v>告警时间间隔（秒）</x:v>
      </x:c>
      <x:c r="G249" s="4" t="str">
        <x:v>bm1688,cv186x,x86</x:v>
      </x:c>
      <x:c r="H249" s="4" t="str">
        <x:v>60</x:v>
      </x:c>
      <x:c r="I249" s="4" t="str">
        <x:v>min=; max=; regex=/^([1-9]|[1-9][0-9]|[1-9][0-9][0-9]|[1-9][0-9][0-9][0-9]|[1-2][0-9][0-9][0-9][0-9]|[3][0-5][0-9][0-9][0-9]|36000)$/</x:v>
      </x:c>
      <x:c r="J249" s="4" t="str"/>
      <x:c r="K249" s="4" t="str">
        <x:v>告警时间间隔：2次告警事件的间隔。范围：1~36000秒，默认：60秒。</x:v>
      </x:c>
      <x:c r="L249" s="4" t="str">
        <x:v>默认/合法替代/空/非法类型；按已确认范围测min、max及相邻越界；保存回读并验证行为</x:v>
      </x:c>
      <x:c r="M249" s="4" t="str">
        <x:v>ALG-6</x:v>
      </x:c>
      <x:c r="N249" s="4" t="str">
        <x:v>未执行</x:v>
      </x:c>
      <x:c r="O249" s="12" t="str"/>
    </x:row>
    <x:row r="250" ht="32" customHeight="1">
      <x:c r="A250" s="9" t="str">
        <x:v>PAR-0246</x:v>
      </x:c>
      <x:c r="B250" s="9" t="str">
        <x:v>模板</x:v>
      </x:c>
      <x:c r="C250" s="9" t="str">
        <x:v>6</x:v>
      </x:c>
      <x:c r="D250" s="9" t="str">
        <x:v>人员跌倒</x:v>
      </x:c>
      <x:c r="E250" s="9" t="str">
        <x:v>param.targetAlarmCount</x:v>
      </x:c>
      <x:c r="F250" s="9" t="str">
        <x:v>告警次数</x:v>
      </x:c>
      <x:c r="G250" s="9" t="str">
        <x:v>bm1688,cv186x,x86</x:v>
      </x:c>
      <x:c r="H250" s="9" t="str">
        <x:v>1</x:v>
      </x:c>
      <x:c r="I250" s="9" t="str">
        <x:v>min=; max=; regex=/^(0|[1-9]|[1-9][0-9]|100)$/</x:v>
      </x:c>
      <x:c r="J250" s="9" t="str"/>
      <x:c r="K250" s="9" t="str">
        <x:v>告警次数：范围：0-100，默认为1。0表示不限次数。</x:v>
      </x:c>
      <x:c r="L250" s="9" t="str">
        <x:v>默认/合法替代/空/非法类型；按已确认范围测min、max及相邻越界；保存回读并验证行为</x:v>
      </x:c>
      <x:c r="M250" s="9" t="str">
        <x:v>ALG-6</x:v>
      </x:c>
      <x:c r="N250" s="9" t="str">
        <x:v>未执行</x:v>
      </x:c>
      <x:c r="O250" s="12" t="str"/>
    </x:row>
    <x:row r="251" ht="40" customHeight="1">
      <x:c r="A251" s="4" t="str">
        <x:v>PAR-0247</x:v>
      </x:c>
      <x:c r="B251" s="4" t="str">
        <x:v>模板</x:v>
      </x:c>
      <x:c r="C251" s="4" t="str">
        <x:v>6</x:v>
      </x:c>
      <x:c r="D251" s="4" t="str">
        <x:v>人员跌倒</x:v>
      </x:c>
      <x:c r="E251" s="4" t="str">
        <x:v>param.restrainSwitch</x:v>
      </x:c>
      <x:c r="F251" s="4" t="str">
        <x:v>静止目标去重</x:v>
      </x:c>
      <x:c r="G251" s="4" t="str">
        <x:v>bm1688,cv186x,x86</x:v>
      </x:c>
      <x:c r="H251" s="4" t="str">
        <x:v>0</x:v>
      </x:c>
      <x:c r="I251" s="4" t="str">
        <x:v>min=; max=; regex=/^[01]$/</x:v>
      </x:c>
      <x:c r="J251" s="4" t="str"/>
      <x:c r="K251" s="4" t="str">
        <x:v>静止目标去重：对于告警目标，开启此功能后，将进行目标静止状态检测，如判定为静止目标，则不会重复报警。</x:v>
      </x:c>
      <x:c r="L251" s="4" t="str">
        <x:v>默认/合法替代/空/非法类型；按已确认范围测min、max及相邻越界；保存回读并验证行为</x:v>
      </x:c>
      <x:c r="M251" s="4" t="str">
        <x:v>ALG-6</x:v>
      </x:c>
      <x:c r="N251" s="4" t="str">
        <x:v>未执行</x:v>
      </x:c>
      <x:c r="O251" s="12" t="str"/>
    </x:row>
    <x:row r="252" ht="32" customHeight="1">
      <x:c r="A252" s="9" t="str">
        <x:v>PAR-0248</x:v>
      </x:c>
      <x:c r="B252" s="9" t="str">
        <x:v>模板</x:v>
      </x:c>
      <x:c r="C252" s="9" t="str">
        <x:v>6</x:v>
      </x:c>
      <x:c r="D252" s="9" t="str">
        <x:v>人员跌倒</x:v>
      </x:c>
      <x:c r="E252" s="9" t="str">
        <x:v>param.overlapRate</x:v>
      </x:c>
      <x:c r="F252" s="9" t="str">
        <x:v>静止目标重叠率</x:v>
      </x:c>
      <x:c r="G252" s="9" t="str">
        <x:v>bm1688,cv186x,x86</x:v>
      </x:c>
      <x:c r="H252" s="9" t="str">
        <x:v>0.2</x:v>
      </x:c>
      <x:c r="I252" s="9" t="str">
        <x:v>min=; max=; regex=/^(0(\.\d{1,3})?|1(\.0{1,3})?)$/</x:v>
      </x:c>
      <x:c r="J252" s="9" t="str">
        <x:v>{"key":"param.restrainSwitch","value":"1"}</x:v>
      </x:c>
      <x:c r="K252" s="9" t="str">
        <x:v>静止目标重叠率，范围：0.0~1.0，限小数点后3位，默认：0.2。</x:v>
      </x:c>
      <x:c r="L252" s="9" t="str">
        <x:v>默认/合法替代/空/非法类型；按已确认范围测min、max及相邻越界；保存回读并验证行为</x:v>
      </x:c>
      <x:c r="M252" s="9" t="str">
        <x:v>ALG-6</x:v>
      </x:c>
      <x:c r="N252" s="9" t="str">
        <x:v>未执行</x:v>
      </x:c>
      <x:c r="O252" s="12" t="str"/>
    </x:row>
    <x:row r="253" ht="32" customHeight="1">
      <x:c r="A253" s="4" t="str">
        <x:v>PAR-0249</x:v>
      </x:c>
      <x:c r="B253" s="4" t="str">
        <x:v>模板</x:v>
      </x:c>
      <x:c r="C253" s="4" t="str">
        <x:v>6</x:v>
      </x:c>
      <x:c r="D253" s="4" t="str">
        <x:v>人员跌倒</x:v>
      </x:c>
      <x:c r="E253" s="4" t="str">
        <x:v>param.restrainTime</x:v>
      </x:c>
      <x:c r="F253" s="4" t="str">
        <x:v>静止目标去重时间(小时)</x:v>
      </x:c>
      <x:c r="G253" s="4" t="str">
        <x:v>bm1688,cv186x,x86</x:v>
      </x:c>
      <x:c r="H253" s="4" t="str">
        <x:v>6</x:v>
      </x:c>
      <x:c r="I253" s="4" t="str">
        <x:v>min=; max=; regex=/^([0-9]|[1][0-9]|[2][0-4])$/</x:v>
      </x:c>
      <x:c r="J253" s="4" t="str">
        <x:v>{"key":"param.restrainSwitch","value":"1"}</x:v>
      </x:c>
      <x:c r="K253" s="4" t="str">
        <x:v>静止目标去重时间，范围：1~24小时，默认：6小时。</x:v>
      </x:c>
      <x:c r="L253" s="4" t="str">
        <x:v>默认/合法替代/空/非法类型；按已确认范围测min、max及相邻越界；保存回读并验证行为</x:v>
      </x:c>
      <x:c r="M253" s="4" t="str">
        <x:v>ALG-6</x:v>
      </x:c>
      <x:c r="N253" s="4" t="str">
        <x:v>未执行</x:v>
      </x:c>
      <x:c r="O253" s="12" t="str"/>
    </x:row>
    <x:row r="254" ht="32" customHeight="1">
      <x:c r="A254" s="9" t="str">
        <x:v>PAR-0250</x:v>
      </x:c>
      <x:c r="B254" s="9" t="str">
        <x:v>模板</x:v>
      </x:c>
      <x:c r="C254" s="9" t="str">
        <x:v>6</x:v>
      </x:c>
      <x:c r="D254" s="9" t="str">
        <x:v>人员跌倒</x:v>
      </x:c>
      <x:c r="E254" s="9" t="str">
        <x:v>param.overlayTrajectory</x:v>
      </x:c>
      <x:c r="F254" s="9" t="str">
        <x:v>全景图叠加轨迹</x:v>
      </x:c>
      <x:c r="G254" s="9" t="str">
        <x:v>bm1688,cv186x,x86</x:v>
      </x:c>
      <x:c r="H254" s="9" t="str">
        <x:v>0</x:v>
      </x:c>
      <x:c r="I254" s="9" t="str">
        <x:v>min=; max=; regex=/^[01]$/</x:v>
      </x:c>
      <x:c r="J254" s="9" t="str"/>
      <x:c r="K254" s="9" t="str">
        <x:v>打开后会在全景图上叠加目标运动轨迹</x:v>
      </x:c>
      <x:c r="L254" s="9" t="str">
        <x:v>默认/合法替代/空/非法类型；按已确认范围测min、max及相邻越界；保存回读并验证行为</x:v>
      </x:c>
      <x:c r="M254" s="9" t="str">
        <x:v>ALG-6</x:v>
      </x:c>
      <x:c r="N254" s="9" t="str">
        <x:v>未执行</x:v>
      </x:c>
      <x:c r="O254" s="12" t="str"/>
    </x:row>
    <x:row r="255" ht="40" customHeight="1">
      <x:c r="A255" s="4" t="str">
        <x:v>PAR-0251</x:v>
      </x:c>
      <x:c r="B255" s="4" t="str">
        <x:v>模板</x:v>
      </x:c>
      <x:c r="C255" s="4" t="str">
        <x:v>6</x:v>
      </x:c>
      <x:c r="D255" s="4" t="str">
        <x:v>人员跌倒</x:v>
      </x:c>
      <x:c r="E255" s="4" t="str">
        <x:v>filter.pedestrian.side.min</x:v>
      </x:c>
      <x:c r="F255" s="4" t="str">
        <x:v>最小行人尺寸</x:v>
      </x:c>
      <x:c r="G255" s="4" t="str">
        <x:v>bm1688,cv186x,x86</x:v>
      </x:c>
      <x:c r="H255" s="4" t="str">
        <x:v>60</x:v>
      </x:c>
      <x:c r="I255" s="4" t="str">
        <x:v>min=; max=; regex=/^(0|[1-9]|[1-9][0-9]|[1-9][0-9][0-9]|[1-9][0-9][0-9][0-9]|10000)$/</x:v>
      </x:c>
      <x:c r="J255" s="4" t="str"/>
      <x:c r="K255" s="4" t="str">
        <x:v>最小行人尺寸：行人抓拍照片的最小图像尺寸。如输入值为100，则最小行人尺寸为100*100像素。范围：10px~1000像素 默认：100像素。</x:v>
      </x:c>
      <x:c r="L255" s="4" t="str">
        <x:v>默认/合法替代/空/非法类型；按已确认范围测min、max及相邻越界；保存回读并验证行为</x:v>
      </x:c>
      <x:c r="M255" s="4" t="str">
        <x:v>ALG-6</x:v>
      </x:c>
      <x:c r="N255" s="4" t="str">
        <x:v>未执行</x:v>
      </x:c>
      <x:c r="O255" s="12" t="str"/>
    </x:row>
    <x:row r="256" ht="32" customHeight="1">
      <x:c r="A256" s="9" t="str">
        <x:v>PAR-0252</x:v>
      </x:c>
      <x:c r="B256" s="9" t="str">
        <x:v>模板</x:v>
      </x:c>
      <x:c r="C256" s="9" t="str">
        <x:v>6</x:v>
      </x:c>
      <x:c r="D256" s="9" t="str">
        <x:v>人员跌倒</x:v>
      </x:c>
      <x:c r="E256" s="9" t="str">
        <x:v>aiParam.1001003.frames</x:v>
      </x:c>
      <x:c r="F256" s="9" t="str">
        <x:v>行人检测追踪历史帧数</x:v>
      </x:c>
      <x:c r="G256" s="9" t="str">
        <x:v>bm1688,cv186x,x86</x:v>
      </x:c>
      <x:c r="H256" s="9" t="str">
        <x:v>10</x:v>
      </x:c>
      <x:c r="I256" s="9" t="str">
        <x:v>min=; max=; regex=/^([2-9]|[1-9][0-9]|100)$/</x:v>
      </x:c>
      <x:c r="J256" s="9" t="str"/>
      <x:c r="K256" s="9" t="str">
        <x:v>追踪历史帧数。范围：2~100</x:v>
      </x:c>
      <x:c r="L256" s="9" t="str">
        <x:v>默认/合法替代/空/非法类型；按已确认范围测min、max及相邻越界；保存回读并验证行为</x:v>
      </x:c>
      <x:c r="M256" s="9" t="str">
        <x:v>ALG-6</x:v>
      </x:c>
      <x:c r="N256" s="9" t="str">
        <x:v>未执行</x:v>
      </x:c>
      <x:c r="O256" s="12" t="str"/>
    </x:row>
    <x:row r="257" ht="32" customHeight="1">
      <x:c r="A257" s="4" t="str">
        <x:v>PAR-0253</x:v>
      </x:c>
      <x:c r="B257" s="4" t="str">
        <x:v>模板</x:v>
      </x:c>
      <x:c r="C257" s="4" t="str">
        <x:v>6</x:v>
      </x:c>
      <x:c r="D257" s="4" t="str">
        <x:v>人员跌倒</x:v>
      </x:c>
      <x:c r="E257" s="4" t="str">
        <x:v>aiParam.1001003.motion</x:v>
      </x:c>
      <x:c r="F257" s="4" t="str">
        <x:v>行人检测静止阈值</x:v>
      </x:c>
      <x:c r="G257" s="4" t="str">
        <x:v>bm1688,cv186x,x86</x:v>
      </x:c>
      <x:c r="H257" s="4" t="str">
        <x:v>50.0</x:v>
      </x:c>
      <x:c r="I257" s="4" t="str">
        <x:v>min=; max=; regex=</x:v>
      </x:c>
      <x:c r="J257" s="4" t="str"/>
      <x:c r="K257" s="4" t="str">
        <x:v>静止阈值。范围：1~99，例如：80.0</x:v>
      </x:c>
      <x:c r="L257" s="4" t="str">
        <x:v>默认/合法替代/空/非法类型；按已确认范围测min、max及相邻越界；保存回读并验证行为</x:v>
      </x:c>
      <x:c r="M257" s="4" t="str">
        <x:v>ALG-6</x:v>
      </x:c>
      <x:c r="N257" s="4" t="str">
        <x:v>未执行</x:v>
      </x:c>
      <x:c r="O257" s="12" t="str"/>
    </x:row>
    <x:row r="258" ht="40" customHeight="1">
      <x:c r="A258" s="9" t="str">
        <x:v>PAR-0254</x:v>
      </x:c>
      <x:c r="B258" s="9" t="str">
        <x:v>模板</x:v>
      </x:c>
      <x:c r="C258" s="9" t="str">
        <x:v>6</x:v>
      </x:c>
      <x:c r="D258" s="9" t="str">
        <x:v>人员跌倒</x:v>
      </x:c>
      <x:c r="E258" s="9" t="str">
        <x:v>param.sensitivity</x:v>
      </x:c>
      <x:c r="F258" s="9" t="str">
        <x:v>灵敏度</x:v>
      </x:c>
      <x:c r="G258" s="9" t="str">
        <x:v>bm1688,cv186x,x86</x:v>
      </x:c>
      <x:c r="H258" s="9" t="str">
        <x:v>5</x:v>
      </x:c>
      <x:c r="I258" s="9" t="str">
        <x:v>min=; max=; regex=/^([1-9]|10)$/</x:v>
      </x:c>
      <x:c r="J258" s="9" t="str"/>
      <x:c r="K258" s="9" t="str">
        <x:v>灵敏度：用于计算总数范围内的命中数。如总数为10，取帧频率为3，则需时间≥10/3秒，才有可能产生告警。</x:v>
      </x:c>
      <x:c r="L258" s="9" t="str">
        <x:v>默认/合法替代/空/非法类型；按已确认范围测min、max及相邻越界；保存回读并验证行为</x:v>
      </x:c>
      <x:c r="M258" s="9" t="str">
        <x:v>ALG-6</x:v>
      </x:c>
      <x:c r="N258" s="9" t="str">
        <x:v>未执行</x:v>
      </x:c>
      <x:c r="O258" s="12" t="str"/>
    </x:row>
    <x:row r="259" ht="40" customHeight="1">
      <x:c r="A259" s="4" t="str">
        <x:v>PAR-0255</x:v>
      </x:c>
      <x:c r="B259" s="4" t="str">
        <x:v>模板</x:v>
      </x:c>
      <x:c r="C259" s="4" t="str">
        <x:v>6</x:v>
      </x:c>
      <x:c r="D259" s="4" t="str">
        <x:v>人员跌倒</x:v>
      </x:c>
      <x:c r="E259" s="4" t="str">
        <x:v>param.detectionDuration</x:v>
      </x:c>
      <x:c r="F259" s="4" t="str">
        <x:v>检测时间（秒）</x:v>
      </x:c>
      <x:c r="G259" s="4" t="str">
        <x:v>bm1688,cv186x,x86</x:v>
      </x:c>
      <x:c r="H259" s="4" t="str">
        <x:v>2</x:v>
      </x:c>
      <x:c r="I259" s="4" t="str">
        <x:v>min=; max=; regex=/^([1-9]|[1-9][0-9]|[1-9][0-9][0-9]|[1-2][0-9][0-9][0-9]|[3][0-5][0-9][0-9]|3600)$/</x:v>
      </x:c>
      <x:c r="J259" s="4" t="str"/>
      <x:c r="K259" s="4" t="str">
        <x:v>检测时间：范围：1-3600。默认2。</x:v>
      </x:c>
      <x:c r="L259" s="4" t="str">
        <x:v>默认/合法替代/空/非法类型；按已确认范围测min、max及相邻越界；保存回读并验证行为</x:v>
      </x:c>
      <x:c r="M259" s="4" t="str">
        <x:v>ALG-6</x:v>
      </x:c>
      <x:c r="N259" s="4" t="str">
        <x:v>未执行</x:v>
      </x:c>
      <x:c r="O259" s="12" t="str"/>
    </x:row>
    <x:row r="260" ht="32" customHeight="1">
      <x:c r="A260" s="9" t="str">
        <x:v>PAR-0256</x:v>
      </x:c>
      <x:c r="B260" s="9" t="str">
        <x:v>模板</x:v>
      </x:c>
      <x:c r="C260" s="9" t="str">
        <x:v>7</x:v>
      </x:c>
      <x:c r="D260" s="9" t="str">
        <x:v>车辆违停</x:v>
      </x:c>
      <x:c r="E260" s="9" t="str">
        <x:v>aiParam.nonMotorVehicle.confidence</x:v>
      </x:c>
      <x:c r="F260" s="9" t="str">
        <x:v>非机动车置信度</x:v>
      </x:c>
      <x:c r="G260" s="9" t="str">
        <x:v>bm1688,cv186x,x86</x:v>
      </x:c>
      <x:c r="H260" s="9" t="str"/>
      <x:c r="I260" s="9" t="str">
        <x:v>min=; max=; regex=</x:v>
      </x:c>
      <x:c r="J260" s="9" t="str"/>
      <x:c r="K260" s="9" t="str">
        <x:v>非机动车置信度，范围：0.0~1.0，限小数点后3位。</x:v>
      </x:c>
      <x:c r="L260" s="9" t="str">
        <x:v>默认/合法替代/空/非法类型；按已确认范围测min、max及相邻越界；保存回读并验证行为</x:v>
      </x:c>
      <x:c r="M260" s="9" t="str">
        <x:v>ALG-7</x:v>
      </x:c>
      <x:c r="N260" s="9" t="str">
        <x:v>未执行</x:v>
      </x:c>
      <x:c r="O260" s="12" t="str"/>
    </x:row>
    <x:row r="261" ht="32" customHeight="1">
      <x:c r="A261" s="4" t="str">
        <x:v>PAR-0257</x:v>
      </x:c>
      <x:c r="B261" s="4" t="str">
        <x:v>模板</x:v>
      </x:c>
      <x:c r="C261" s="4" t="str">
        <x:v>7</x:v>
      </x:c>
      <x:c r="D261" s="4" t="str">
        <x:v>车辆违停</x:v>
      </x:c>
      <x:c r="E261" s="4" t="str">
        <x:v>aiParam.nonMotorVehicle.confidenceConfig</x:v>
      </x:c>
      <x:c r="F261" s="4" t="str">
        <x:v>非机动车置信度偏移</x:v>
      </x:c>
      <x:c r="G261" s="4" t="str">
        <x:v>bm1688,cv186x,x86</x:v>
      </x:c>
      <x:c r="H261" s="4" t="str">
        <x:v>0,0</x:v>
      </x:c>
      <x:c r="I261" s="4" t="str">
        <x:v>min=; max=; regex=</x:v>
      </x:c>
      <x:c r="J261" s="4" t="str"/>
      <x:c r="K261" s="4" t="str">
        <x:v>非机动车置信度偏移，默认为严格阈值。可选严格阈值、推荐阈值。</x:v>
      </x:c>
      <x:c r="L261" s="4" t="str">
        <x:v>默认/合法替代/空/非法类型；按已确认范围测min、max及相邻越界；保存回读并验证行为</x:v>
      </x:c>
      <x:c r="M261" s="4" t="str">
        <x:v>ALG-7</x:v>
      </x:c>
      <x:c r="N261" s="4" t="str">
        <x:v>未执行</x:v>
      </x:c>
      <x:c r="O261" s="12" t="str"/>
    </x:row>
    <x:row r="262" ht="32" customHeight="1">
      <x:c r="A262" s="9" t="str">
        <x:v>PAR-0258</x:v>
      </x:c>
      <x:c r="B262" s="9" t="str">
        <x:v>模板</x:v>
      </x:c>
      <x:c r="C262" s="9" t="str">
        <x:v>7</x:v>
      </x:c>
      <x:c r="D262" s="9" t="str">
        <x:v>车辆违停</x:v>
      </x:c>
      <x:c r="E262" s="9" t="str">
        <x:v>aiParam.nonMotorVehicle.detPostion</x:v>
      </x:c>
      <x:c r="F262" s="9" t="str">
        <x:v>非机动车检测方式</x:v>
      </x:c>
      <x:c r="G262" s="9" t="str">
        <x:v>bm1688,cv186x,x86</x:v>
      </x:c>
      <x:c r="H262" s="9" t="str">
        <x:v>0</x:v>
      </x:c>
      <x:c r="I262" s="9" t="str">
        <x:v>枚举：0,1,2</x:v>
      </x:c>
      <x:c r="J262" s="9" t="str"/>
      <x:c r="K262" s="9" t="str">
        <x:v>检测方式：定义检测框中心点的位置。默认在底部。可选顶部、底部、中心。</x:v>
      </x:c>
      <x:c r="L262" s="9" t="str">
        <x:v>依次选每个枚举；非法值；保存刷新；触发依赖字段</x:v>
      </x:c>
      <x:c r="M262" s="9" t="str">
        <x:v>ALG-7</x:v>
      </x:c>
      <x:c r="N262" s="9" t="str">
        <x:v>未执行</x:v>
      </x:c>
      <x:c r="O262" s="12" t="str"/>
    </x:row>
    <x:row r="263" ht="32" customHeight="1">
      <x:c r="A263" s="4" t="str">
        <x:v>PAR-0259</x:v>
      </x:c>
      <x:c r="B263" s="4" t="str">
        <x:v>模板</x:v>
      </x:c>
      <x:c r="C263" s="4" t="str">
        <x:v>7</x:v>
      </x:c>
      <x:c r="D263" s="4" t="str">
        <x:v>车辆违停</x:v>
      </x:c>
      <x:c r="E263" s="4" t="str">
        <x:v>aiParam.vehicle.confidence</x:v>
      </x:c>
      <x:c r="F263" s="4" t="str">
        <x:v>车辆置信度</x:v>
      </x:c>
      <x:c r="G263" s="4" t="str">
        <x:v>bm1688,cv186x,x86</x:v>
      </x:c>
      <x:c r="H263" s="4" t="str"/>
      <x:c r="I263" s="4" t="str">
        <x:v>min=; max=; regex=</x:v>
      </x:c>
      <x:c r="J263" s="4" t="str"/>
      <x:c r="K263" s="4" t="str">
        <x:v>车辆置信度，范围：0.0~1.0，限小数点后3位。</x:v>
      </x:c>
      <x:c r="L263" s="4" t="str">
        <x:v>默认/合法替代/空/非法类型；按已确认范围测min、max及相邻越界；保存回读并验证行为</x:v>
      </x:c>
      <x:c r="M263" s="4" t="str">
        <x:v>ALG-7</x:v>
      </x:c>
      <x:c r="N263" s="4" t="str">
        <x:v>未执行</x:v>
      </x:c>
      <x:c r="O263" s="12" t="str"/>
    </x:row>
    <x:row r="264" ht="32" customHeight="1">
      <x:c r="A264" s="9" t="str">
        <x:v>PAR-0260</x:v>
      </x:c>
      <x:c r="B264" s="9" t="str">
        <x:v>模板</x:v>
      </x:c>
      <x:c r="C264" s="9" t="str">
        <x:v>7</x:v>
      </x:c>
      <x:c r="D264" s="9" t="str">
        <x:v>车辆违停</x:v>
      </x:c>
      <x:c r="E264" s="9" t="str">
        <x:v>aiParam.vehicle.confidenceConfig</x:v>
      </x:c>
      <x:c r="F264" s="9" t="str">
        <x:v>车辆置信度偏移</x:v>
      </x:c>
      <x:c r="G264" s="9" t="str">
        <x:v>bm1688,cv186x,x86</x:v>
      </x:c>
      <x:c r="H264" s="9" t="str">
        <x:v>0,0</x:v>
      </x:c>
      <x:c r="I264" s="9" t="str">
        <x:v>min=; max=; regex=</x:v>
      </x:c>
      <x:c r="J264" s="9" t="str"/>
      <x:c r="K264" s="9" t="str">
        <x:v>车辆置信度偏移，默认为严格阈值。可选严格阈值、推荐阈值。</x:v>
      </x:c>
      <x:c r="L264" s="9" t="str">
        <x:v>默认/合法替代/空/非法类型；按已确认范围测min、max及相邻越界；保存回读并验证行为</x:v>
      </x:c>
      <x:c r="M264" s="9" t="str">
        <x:v>ALG-7</x:v>
      </x:c>
      <x:c r="N264" s="9" t="str">
        <x:v>未执行</x:v>
      </x:c>
      <x:c r="O264" s="12" t="str"/>
    </x:row>
    <x:row r="265" ht="32" customHeight="1">
      <x:c r="A265" s="4" t="str">
        <x:v>PAR-0261</x:v>
      </x:c>
      <x:c r="B265" s="4" t="str">
        <x:v>模板</x:v>
      </x:c>
      <x:c r="C265" s="4" t="str">
        <x:v>7</x:v>
      </x:c>
      <x:c r="D265" s="4" t="str">
        <x:v>车辆违停</x:v>
      </x:c>
      <x:c r="E265" s="4" t="str">
        <x:v>aiParam.vehicle.detPostion</x:v>
      </x:c>
      <x:c r="F265" s="4" t="str">
        <x:v>车辆检测方式</x:v>
      </x:c>
      <x:c r="G265" s="4" t="str">
        <x:v>bm1688,cv186x,x86</x:v>
      </x:c>
      <x:c r="H265" s="4" t="str">
        <x:v>1</x:v>
      </x:c>
      <x:c r="I265" s="4" t="str">
        <x:v>枚举：0,1,2</x:v>
      </x:c>
      <x:c r="J265" s="4" t="str"/>
      <x:c r="K265" s="4" t="str">
        <x:v>检测方式：定义检测框中心点的位置。默认在底部。可选顶部、底部、中心。</x:v>
      </x:c>
      <x:c r="L265" s="4" t="str">
        <x:v>依次选每个枚举；非法值；保存刷新；触发依赖字段</x:v>
      </x:c>
      <x:c r="M265" s="4" t="str">
        <x:v>ALG-7</x:v>
      </x:c>
      <x:c r="N265" s="4" t="str">
        <x:v>未执行</x:v>
      </x:c>
      <x:c r="O265" s="12" t="str"/>
    </x:row>
    <x:row r="266" ht="32" customHeight="1">
      <x:c r="A266" s="9" t="str">
        <x:v>PAR-0262</x:v>
      </x:c>
      <x:c r="B266" s="9" t="str">
        <x:v>模板</x:v>
      </x:c>
      <x:c r="C266" s="9" t="str">
        <x:v>7</x:v>
      </x:c>
      <x:c r="D266" s="9" t="str">
        <x:v>车辆违停</x:v>
      </x:c>
      <x:c r="E266" s="9" t="str">
        <x:v>aiParam.2000001.trackDynamicMatch</x:v>
      </x:c>
      <x:c r="F266" s="9" t="str">
        <x:v>车辆检测追踪半径</x:v>
      </x:c>
      <x:c r="G266" s="9" t="str">
        <x:v>bm1688,cv186x,x86</x:v>
      </x:c>
      <x:c r="H266" s="9" t="str">
        <x:v>2.3</x:v>
      </x:c>
      <x:c r="I266" s="9" t="str">
        <x:v>min=; max=; regex=</x:v>
      </x:c>
      <x:c r="J266" s="9" t="str"/>
      <x:c r="K266" s="9" t="str">
        <x:v>追踪半径，跟追踪帧数也有关系。范围：0~100，例如：2.3</x:v>
      </x:c>
      <x:c r="L266" s="9" t="str">
        <x:v>默认/合法替代/空/非法类型；按已确认范围测min、max及相邻越界；保存回读并验证行为</x:v>
      </x:c>
      <x:c r="M266" s="9" t="str">
        <x:v>ALG-7</x:v>
      </x:c>
      <x:c r="N266" s="9" t="str">
        <x:v>未执行</x:v>
      </x:c>
      <x:c r="O266" s="12" t="str"/>
    </x:row>
    <x:row r="267" ht="40" customHeight="1">
      <x:c r="A267" s="4" t="str">
        <x:v>PAR-0263</x:v>
      </x:c>
      <x:c r="B267" s="4" t="str">
        <x:v>模板</x:v>
      </x:c>
      <x:c r="C267" s="4" t="str">
        <x:v>7</x:v>
      </x:c>
      <x:c r="D267" s="4" t="str">
        <x:v>车辆违停</x:v>
      </x:c>
      <x:c r="E267" s="4" t="str">
        <x:v>filter.vehicle.side.min</x:v>
      </x:c>
      <x:c r="F267" s="4" t="str">
        <x:v>最小车辆尺寸</x:v>
      </x:c>
      <x:c r="G267" s="4" t="str">
        <x:v>bm1688,cv186x,x86</x:v>
      </x:c>
      <x:c r="H267" s="4" t="str">
        <x:v>60</x:v>
      </x:c>
      <x:c r="I267" s="4" t="str">
        <x:v>min=; max=; regex=/^(0|[1-9]|[1-9][0-9]|[1-9][0-9][0-9]|[1-9][0-9][0-9][0-9]|10000)$/</x:v>
      </x:c>
      <x:c r="J267" s="4" t="str"/>
      <x:c r="K267" s="4" t="str">
        <x:v>最小车辆尺寸：车辆抓拍照片的最小图像尺寸。如输入值为100，则最小车辆尺寸为100*100像素。范围：10px~1000像素 默认：100像素。</x:v>
      </x:c>
      <x:c r="L267" s="4" t="str">
        <x:v>默认/合法替代/空/非法类型；按已确认范围测min、max及相邻越界；保存回读并验证行为</x:v>
      </x:c>
      <x:c r="M267" s="4" t="str">
        <x:v>ALG-7</x:v>
      </x:c>
      <x:c r="N267" s="4" t="str">
        <x:v>未执行</x:v>
      </x:c>
      <x:c r="O267" s="12" t="str"/>
    </x:row>
    <x:row r="268" ht="40" customHeight="1">
      <x:c r="A268" s="9" t="str">
        <x:v>PAR-0264</x:v>
      </x:c>
      <x:c r="B268" s="9" t="str">
        <x:v>模板</x:v>
      </x:c>
      <x:c r="C268" s="9" t="str">
        <x:v>7</x:v>
      </x:c>
      <x:c r="D268" s="9" t="str">
        <x:v>车辆违停</x:v>
      </x:c>
      <x:c r="E268" s="9" t="str">
        <x:v>filter.nonMotorVehicle.side.min</x:v>
      </x:c>
      <x:c r="F268" s="9" t="str">
        <x:v>最小非机动车尺寸</x:v>
      </x:c>
      <x:c r="G268" s="9" t="str">
        <x:v>bm1688,cv186x,x86</x:v>
      </x:c>
      <x:c r="H268" s="9" t="str">
        <x:v>60</x:v>
      </x:c>
      <x:c r="I268" s="9" t="str">
        <x:v>min=; max=; regex=/^(0|[1-9]|[1-9][0-9]|[1-9][0-9][0-9]|[1-9][0-9][0-9][0-9]|10000)$/</x:v>
      </x:c>
      <x:c r="J268" s="9" t="str"/>
      <x:c r="K268" s="9" t="str">
        <x:v>最小非机动车尺寸：非机动车抓拍照片的最小图像尺寸。如输入值为100，则最小非机动车尺寸为100*100像素。范围：10px~1000像素 默认：100像素。</x:v>
      </x:c>
      <x:c r="L268" s="9" t="str">
        <x:v>默认/合法替代/空/非法类型；按已确认范围测min、max及相邻越界；保存回读并验证行为</x:v>
      </x:c>
      <x:c r="M268" s="9" t="str">
        <x:v>ALG-7</x:v>
      </x:c>
      <x:c r="N268" s="9" t="str">
        <x:v>未执行</x:v>
      </x:c>
      <x:c r="O268" s="12" t="str"/>
    </x:row>
    <x:row r="269" ht="40" customHeight="1">
      <x:c r="A269" s="4" t="str">
        <x:v>PAR-0265</x:v>
      </x:c>
      <x:c r="B269" s="4" t="str">
        <x:v>模板</x:v>
      </x:c>
      <x:c r="C269" s="4" t="str">
        <x:v>7</x:v>
      </x:c>
      <x:c r="D269" s="4" t="str">
        <x:v>车辆违停</x:v>
      </x:c>
      <x:c r="E269" s="4" t="str">
        <x:v>param.targetAlarmInterval</x:v>
      </x:c>
      <x:c r="F269" s="4" t="str">
        <x:v>告警时间间隔（秒）</x:v>
      </x:c>
      <x:c r="G269" s="4" t="str">
        <x:v>bm1688,cv186x,x86</x:v>
      </x:c>
      <x:c r="H269" s="4" t="str">
        <x:v>60</x:v>
      </x:c>
      <x:c r="I269" s="4" t="str">
        <x:v>min=; max=; regex=/^([1-9]|[1-9][0-9]|[1-9][0-9][0-9]|[1-9][0-9][0-9][0-9]|[1-2][0-9][0-9][0-9][0-9]|[3][0-5][0-9][0-9][0-9]|36000)$/</x:v>
      </x:c>
      <x:c r="J269" s="4" t="str"/>
      <x:c r="K269" s="4" t="str">
        <x:v>告警时间间隔：2次告警事件的间隔。范围：1~36000秒，默认：60秒。</x:v>
      </x:c>
      <x:c r="L269" s="4" t="str">
        <x:v>默认/合法替代/空/非法类型；按已确认范围测min、max及相邻越界；保存回读并验证行为</x:v>
      </x:c>
      <x:c r="M269" s="4" t="str">
        <x:v>ALG-7</x:v>
      </x:c>
      <x:c r="N269" s="4" t="str">
        <x:v>未执行</x:v>
      </x:c>
      <x:c r="O269" s="12" t="str"/>
    </x:row>
    <x:row r="270" ht="32" customHeight="1">
      <x:c r="A270" s="9" t="str">
        <x:v>PAR-0266</x:v>
      </x:c>
      <x:c r="B270" s="9" t="str">
        <x:v>模板</x:v>
      </x:c>
      <x:c r="C270" s="9" t="str">
        <x:v>7</x:v>
      </x:c>
      <x:c r="D270" s="9" t="str">
        <x:v>车辆违停</x:v>
      </x:c>
      <x:c r="E270" s="9" t="str">
        <x:v>param.targetAlarmCount</x:v>
      </x:c>
      <x:c r="F270" s="9" t="str">
        <x:v>告警次数</x:v>
      </x:c>
      <x:c r="G270" s="9" t="str">
        <x:v>bm1688,cv186x,x86</x:v>
      </x:c>
      <x:c r="H270" s="9" t="str">
        <x:v>1</x:v>
      </x:c>
      <x:c r="I270" s="9" t="str">
        <x:v>min=; max=; regex=/^(0|[1-9]|[1-9][0-9]|100)$/</x:v>
      </x:c>
      <x:c r="J270" s="9" t="str"/>
      <x:c r="K270" s="9" t="str">
        <x:v>告警次数：范围：0-100，默认为1。0表示不限次数。</x:v>
      </x:c>
      <x:c r="L270" s="9" t="str">
        <x:v>默认/合法替代/空/非法类型；按已确认范围测min、max及相邻越界；保存回读并验证行为</x:v>
      </x:c>
      <x:c r="M270" s="9" t="str">
        <x:v>ALG-7</x:v>
      </x:c>
      <x:c r="N270" s="9" t="str">
        <x:v>未执行</x:v>
      </x:c>
      <x:c r="O270" s="12" t="str"/>
    </x:row>
    <x:row r="271" ht="40" customHeight="1">
      <x:c r="A271" s="4" t="str">
        <x:v>PAR-0267</x:v>
      </x:c>
      <x:c r="B271" s="4" t="str">
        <x:v>模板</x:v>
      </x:c>
      <x:c r="C271" s="4" t="str">
        <x:v>7</x:v>
      </x:c>
      <x:c r="D271" s="4" t="str">
        <x:v>车辆违停</x:v>
      </x:c>
      <x:c r="E271" s="4" t="str">
        <x:v>param.restrainSwitch</x:v>
      </x:c>
      <x:c r="F271" s="4" t="str">
        <x:v>静止目标去重</x:v>
      </x:c>
      <x:c r="G271" s="4" t="str">
        <x:v>bm1688,cv186x,x86</x:v>
      </x:c>
      <x:c r="H271" s="4" t="str">
        <x:v>1</x:v>
      </x:c>
      <x:c r="I271" s="4" t="str">
        <x:v>min=; max=; regex=/^[01]$/</x:v>
      </x:c>
      <x:c r="J271" s="4" t="str"/>
      <x:c r="K271" s="4" t="str">
        <x:v>静止目标去重：对于告警目标，开启此功能后，将进行目标静止状态检测，如判定为静止目标，则不会重复报警。</x:v>
      </x:c>
      <x:c r="L271" s="4" t="str">
        <x:v>默认/合法替代/空/非法类型；按已确认范围测min、max及相邻越界；保存回读并验证行为</x:v>
      </x:c>
      <x:c r="M271" s="4" t="str">
        <x:v>ALG-7</x:v>
      </x:c>
      <x:c r="N271" s="4" t="str">
        <x:v>未执行</x:v>
      </x:c>
      <x:c r="O271" s="12" t="str"/>
    </x:row>
    <x:row r="272" ht="32" customHeight="1">
      <x:c r="A272" s="9" t="str">
        <x:v>PAR-0268</x:v>
      </x:c>
      <x:c r="B272" s="9" t="str">
        <x:v>模板</x:v>
      </x:c>
      <x:c r="C272" s="9" t="str">
        <x:v>7</x:v>
      </x:c>
      <x:c r="D272" s="9" t="str">
        <x:v>车辆违停</x:v>
      </x:c>
      <x:c r="E272" s="9" t="str">
        <x:v>param.overlapRate</x:v>
      </x:c>
      <x:c r="F272" s="9" t="str">
        <x:v>静止目标重叠率</x:v>
      </x:c>
      <x:c r="G272" s="9" t="str">
        <x:v>bm1688,cv186x,x86</x:v>
      </x:c>
      <x:c r="H272" s="9" t="str">
        <x:v>0.2</x:v>
      </x:c>
      <x:c r="I272" s="9" t="str">
        <x:v>min=; max=; regex=/^(0(\.\d{1,3})?|1(\.0{1,3})?)$/</x:v>
      </x:c>
      <x:c r="J272" s="9" t="str">
        <x:v>{"key":"param.restrainSwitch","value":"1"}</x:v>
      </x:c>
      <x:c r="K272" s="9" t="str">
        <x:v>静止目标重叠率，范围：0.0~1.0，限小数点后3位，默认：0.2。</x:v>
      </x:c>
      <x:c r="L272" s="9" t="str">
        <x:v>默认/合法替代/空/非法类型；按已确认范围测min、max及相邻越界；保存回读并验证行为</x:v>
      </x:c>
      <x:c r="M272" s="9" t="str">
        <x:v>ALG-7</x:v>
      </x:c>
      <x:c r="N272" s="9" t="str">
        <x:v>未执行</x:v>
      </x:c>
      <x:c r="O272" s="12" t="str"/>
    </x:row>
    <x:row r="273" ht="32" customHeight="1">
      <x:c r="A273" s="4" t="str">
        <x:v>PAR-0269</x:v>
      </x:c>
      <x:c r="B273" s="4" t="str">
        <x:v>模板</x:v>
      </x:c>
      <x:c r="C273" s="4" t="str">
        <x:v>7</x:v>
      </x:c>
      <x:c r="D273" s="4" t="str">
        <x:v>车辆违停</x:v>
      </x:c>
      <x:c r="E273" s="4" t="str">
        <x:v>param.restrainTime</x:v>
      </x:c>
      <x:c r="F273" s="4" t="str">
        <x:v>静止目标去重时间(小时)</x:v>
      </x:c>
      <x:c r="G273" s="4" t="str">
        <x:v>bm1688,cv186x,x86</x:v>
      </x:c>
      <x:c r="H273" s="4" t="str">
        <x:v>6</x:v>
      </x:c>
      <x:c r="I273" s="4" t="str">
        <x:v>min=; max=; regex=/^([0-9]|[1][0-9]|[2][0-4])$/</x:v>
      </x:c>
      <x:c r="J273" s="4" t="str">
        <x:v>{"key":"param.restrainSwitch","value":"1"}</x:v>
      </x:c>
      <x:c r="K273" s="4" t="str">
        <x:v>静止目标去重时间，范围：1~24小时，默认：6小时。</x:v>
      </x:c>
      <x:c r="L273" s="4" t="str">
        <x:v>默认/合法替代/空/非法类型；按已确认范围测min、max及相邻越界；保存回读并验证行为</x:v>
      </x:c>
      <x:c r="M273" s="4" t="str">
        <x:v>ALG-7</x:v>
      </x:c>
      <x:c r="N273" s="4" t="str">
        <x:v>未执行</x:v>
      </x:c>
      <x:c r="O273" s="12" t="str"/>
    </x:row>
    <x:row r="274" ht="32" customHeight="1">
      <x:c r="A274" s="9" t="str">
        <x:v>PAR-0270</x:v>
      </x:c>
      <x:c r="B274" s="9" t="str">
        <x:v>模板</x:v>
      </x:c>
      <x:c r="C274" s="9" t="str">
        <x:v>7</x:v>
      </x:c>
      <x:c r="D274" s="9" t="str">
        <x:v>车辆违停</x:v>
      </x:c>
      <x:c r="E274" s="9" t="str">
        <x:v>param.overlayTrajectory</x:v>
      </x:c>
      <x:c r="F274" s="9" t="str">
        <x:v>全景图叠加轨迹</x:v>
      </x:c>
      <x:c r="G274" s="9" t="str">
        <x:v>bm1688,cv186x,x86</x:v>
      </x:c>
      <x:c r="H274" s="9" t="str">
        <x:v>0</x:v>
      </x:c>
      <x:c r="I274" s="9" t="str">
        <x:v>min=; max=; regex=/^[01]$/</x:v>
      </x:c>
      <x:c r="J274" s="9" t="str"/>
      <x:c r="K274" s="9" t="str">
        <x:v>打开后会在全景图上叠加目标运动轨迹</x:v>
      </x:c>
      <x:c r="L274" s="9" t="str">
        <x:v>默认/合法替代/空/非法类型；按已确认范围测min、max及相邻越界；保存回读并验证行为</x:v>
      </x:c>
      <x:c r="M274" s="9" t="str">
        <x:v>ALG-7</x:v>
      </x:c>
      <x:c r="N274" s="9" t="str">
        <x:v>未执行</x:v>
      </x:c>
      <x:c r="O274" s="12" t="str"/>
    </x:row>
    <x:row r="275" ht="32" customHeight="1">
      <x:c r="A275" s="4" t="str">
        <x:v>PAR-0271</x:v>
      </x:c>
      <x:c r="B275" s="4" t="str">
        <x:v>模板</x:v>
      </x:c>
      <x:c r="C275" s="4" t="str">
        <x:v>7</x:v>
      </x:c>
      <x:c r="D275" s="4" t="str">
        <x:v>车辆违停</x:v>
      </x:c>
      <x:c r="E275" s="4" t="str">
        <x:v>param.areaDuration</x:v>
      </x:c>
      <x:c r="F275" s="4" t="str">
        <x:v>检测时间</x:v>
      </x:c>
      <x:c r="G275" s="4" t="str">
        <x:v>bm1688,cv186x,x86</x:v>
      </x:c>
      <x:c r="H275" s="4" t="str">
        <x:v>10</x:v>
      </x:c>
      <x:c r="I275" s="4" t="str">
        <x:v>min=; max=; regex=</x:v>
      </x:c>
      <x:c r="J275" s="4" t="str"/>
      <x:c r="K275" s="4" t="str">
        <x:v>检测时间：范围：1-3600000，注意时间单位</x:v>
      </x:c>
      <x:c r="L275" s="4" t="str">
        <x:v>默认/合法替代/空/非法类型；按已确认范围测min、max及相邻越界；保存回读并验证行为</x:v>
      </x:c>
      <x:c r="M275" s="4" t="str">
        <x:v>ALG-7</x:v>
      </x:c>
      <x:c r="N275" s="4" t="str">
        <x:v>未执行</x:v>
      </x:c>
      <x:c r="O275" s="12" t="str"/>
    </x:row>
    <x:row r="276" ht="32" customHeight="1">
      <x:c r="A276" s="9" t="str">
        <x:v>PAR-0272</x:v>
      </x:c>
      <x:c r="B276" s="9" t="str">
        <x:v>模板</x:v>
      </x:c>
      <x:c r="C276" s="9" t="str">
        <x:v>7</x:v>
      </x:c>
      <x:c r="D276" s="9" t="str">
        <x:v>车辆违停</x:v>
      </x:c>
      <x:c r="E276" s="9" t="str">
        <x:v>param.areaDurationTimeType</x:v>
      </x:c>
      <x:c r="F276" s="9" t="str">
        <x:v>检测时间单位</x:v>
      </x:c>
      <x:c r="G276" s="9" t="str">
        <x:v>bm1688,cv186x,x86</x:v>
      </x:c>
      <x:c r="H276" s="9" t="str">
        <x:v>1000</x:v>
      </x:c>
      <x:c r="I276" s="9" t="str">
        <x:v>枚举：1,1000,60000,3600000</x:v>
      </x:c>
      <x:c r="J276" s="9" t="str"/>
      <x:c r="K276" s="9" t="str">
        <x:v>检测时间单位</x:v>
      </x:c>
      <x:c r="L276" s="9" t="str">
        <x:v>依次选每个枚举；非法值；保存刷新；触发依赖字段</x:v>
      </x:c>
      <x:c r="M276" s="9" t="str">
        <x:v>ALG-7</x:v>
      </x:c>
      <x:c r="N276" s="9" t="str">
        <x:v>未执行</x:v>
      </x:c>
      <x:c r="O276" s="12" t="str"/>
    </x:row>
    <x:row r="277" ht="32" customHeight="1">
      <x:c r="A277" s="4" t="str">
        <x:v>PAR-0273</x:v>
      </x:c>
      <x:c r="B277" s="4" t="str">
        <x:v>模板</x:v>
      </x:c>
      <x:c r="C277" s="4" t="str">
        <x:v>7</x:v>
      </x:c>
      <x:c r="D277" s="4" t="str">
        <x:v>车辆违停</x:v>
      </x:c>
      <x:c r="E277" s="4" t="str">
        <x:v>param.videoRepeatCount</x:v>
      </x:c>
      <x:c r="F277" s="4" t="str">
        <x:v>离线视频播放次数</x:v>
      </x:c>
      <x:c r="G277" s="4" t="str">
        <x:v>bm1688,cv186x,x86</x:v>
      </x:c>
      <x:c r="H277" s="4" t="str">
        <x:v>1</x:v>
      </x:c>
      <x:c r="I277" s="4" t="str">
        <x:v>min=; max=; regex=</x:v>
      </x:c>
      <x:c r="J277" s="4" t="str"/>
      <x:c r="K277" s="4" t="str">
        <x:v>离线视频播放次数：0 表示无限循环，1-100 表示总播放次数。</x:v>
      </x:c>
      <x:c r="L277" s="4" t="str">
        <x:v>默认/合法替代/空/非法类型；按已确认范围测min、max及相邻越界；保存回读并验证行为</x:v>
      </x:c>
      <x:c r="M277" s="4" t="str">
        <x:v>ALG-7</x:v>
      </x:c>
      <x:c r="N277" s="4" t="str">
        <x:v>未执行</x:v>
      </x:c>
      <x:c r="O277" s="12" t="str"/>
    </x:row>
    <x:row r="278" ht="40" customHeight="1">
      <x:c r="A278" s="9" t="str">
        <x:v>PAR-0274</x:v>
      </x:c>
      <x:c r="B278" s="9" t="str">
        <x:v>模板</x:v>
      </x:c>
      <x:c r="C278" s="9" t="str">
        <x:v>7</x:v>
      </x:c>
      <x:c r="D278" s="9" t="str">
        <x:v>车辆违停</x:v>
      </x:c>
      <x:c r="E278" s="9" t="str">
        <x:v>param.videoReadFps</x:v>
      </x:c>
      <x:c r="F278" s="9" t="str">
        <x:v>离线视频播放取帧帧率</x:v>
      </x:c>
      <x:c r="G278" s="9" t="str">
        <x:v>bm1688,cv186x,x86</x:v>
      </x:c>
      <x:c r="H278" s="9" t="str">
        <x:v>-1</x:v>
      </x:c>
      <x:c r="I278" s="9" t="str">
        <x:v>min=; max=; regex=</x:v>
      </x:c>
      <x:c r="J278" s="9" t="str"/>
      <x:c r="K278" s="9" t="str">
        <x:v>离线视频有不正常帧速现象，指定该参数可以强制指定帧率。&lt;0 不强制，&gt;=0 视频取帧时强制帧率，默认：-1全帧。</x:v>
      </x:c>
      <x:c r="L278" s="9" t="str">
        <x:v>默认/合法替代/空/非法类型；按已确认范围测min、max及相邻越界；保存回读并验证行为</x:v>
      </x:c>
      <x:c r="M278" s="9" t="str">
        <x:v>ALG-7</x:v>
      </x:c>
      <x:c r="N278" s="9" t="str">
        <x:v>未执行</x:v>
      </x:c>
      <x:c r="O278" s="12" t="str"/>
    </x:row>
    <x:row r="279" ht="32" customHeight="1">
      <x:c r="A279" s="4" t="str">
        <x:v>PAR-0275</x:v>
      </x:c>
      <x:c r="B279" s="4" t="str">
        <x:v>模板</x:v>
      </x:c>
      <x:c r="C279" s="4" t="str">
        <x:v>92000002</x:v>
      </x:c>
      <x:c r="D279" s="4" t="str">
        <x:v>图片人脸比对</x:v>
      </x:c>
      <x:c r="E279" s="4" t="str">
        <x:v>aiParam.face.confidence</x:v>
      </x:c>
      <x:c r="F279" s="4" t="str">
        <x:v>face置信度</x:v>
      </x:c>
      <x:c r="G279" s="4" t="str">
        <x:v>bm1688,cv186x,x86</x:v>
      </x:c>
      <x:c r="H279" s="4" t="str">
        <x:v>0.6600000262260437</x:v>
      </x:c>
      <x:c r="I279" s="4" t="str">
        <x:v>min=; max=; regex=</x:v>
      </x:c>
      <x:c r="J279" s="4" t="str"/>
      <x:c r="K279" s="4" t="str">
        <x:v>face置信度，范围：0.0~1.0，限小数点后3位。</x:v>
      </x:c>
      <x:c r="L279" s="4" t="str">
        <x:v>默认/合法替代/空/非法类型；按已确认范围测min、max及相邻越界；保存回读并验证行为</x:v>
      </x:c>
      <x:c r="M279" s="4" t="str">
        <x:v>ALG-92000002</x:v>
      </x:c>
      <x:c r="N279" s="4" t="str">
        <x:v>未执行</x:v>
      </x:c>
      <x:c r="O279" s="12" t="str"/>
    </x:row>
    <x:row r="280" ht="32" customHeight="1">
      <x:c r="A280" s="9" t="str">
        <x:v>PAR-0276</x:v>
      </x:c>
      <x:c r="B280" s="9" t="str">
        <x:v>模板</x:v>
      </x:c>
      <x:c r="C280" s="9" t="str">
        <x:v>92000002</x:v>
      </x:c>
      <x:c r="D280" s="9" t="str">
        <x:v>图片人脸比对</x:v>
      </x:c>
      <x:c r="E280" s="9" t="str">
        <x:v>aiParam.slantedFace.confidence</x:v>
      </x:c>
      <x:c r="F280" s="9" t="str">
        <x:v>slantedFace置信度</x:v>
      </x:c>
      <x:c r="G280" s="9" t="str">
        <x:v>bm1688,cv186x,x86</x:v>
      </x:c>
      <x:c r="H280" s="9" t="str">
        <x:v>0</x:v>
      </x:c>
      <x:c r="I280" s="9" t="str">
        <x:v>min=; max=; regex=</x:v>
      </x:c>
      <x:c r="J280" s="9" t="str"/>
      <x:c r="K280" s="9" t="str">
        <x:v>slantedFace置信度，范围：0.0~1.0，限小数点后3位。</x:v>
      </x:c>
      <x:c r="L280" s="9" t="str">
        <x:v>默认/合法替代/空/非法类型；按已确认范围测min、max及相邻越界；保存回读并验证行为</x:v>
      </x:c>
      <x:c r="M280" s="9" t="str">
        <x:v>ALG-92000002</x:v>
      </x:c>
      <x:c r="N280" s="9" t="str">
        <x:v>未执行</x:v>
      </x:c>
      <x:c r="O280" s="12" t="str"/>
    </x:row>
    <x:row r="281" ht="32" customHeight="1">
      <x:c r="A281" s="4" t="str">
        <x:v>PAR-0277</x:v>
      </x:c>
      <x:c r="B281" s="4" t="str">
        <x:v>模板</x:v>
      </x:c>
      <x:c r="C281" s="4" t="str">
        <x:v>92000002</x:v>
      </x:c>
      <x:c r="D281" s="4" t="str">
        <x:v>图片人脸比对</x:v>
      </x:c>
      <x:c r="E281" s="4" t="str">
        <x:v>aiParam.frontFace.confidence</x:v>
      </x:c>
      <x:c r="F281" s="4" t="str">
        <x:v>frontFace置信度</x:v>
      </x:c>
      <x:c r="G281" s="4" t="str">
        <x:v>bm1688,cv186x,x86</x:v>
      </x:c>
      <x:c r="H281" s="4" t="str">
        <x:v>0</x:v>
      </x:c>
      <x:c r="I281" s="4" t="str">
        <x:v>min=; max=; regex=</x:v>
      </x:c>
      <x:c r="J281" s="4" t="str"/>
      <x:c r="K281" s="4" t="str">
        <x:v>frontFace置信度，范围：0.0~1.0，限小数点后3位。</x:v>
      </x:c>
      <x:c r="L281" s="4" t="str">
        <x:v>默认/合法替代/空/非法类型；按已确认范围测min、max及相邻越界；保存回读并验证行为</x:v>
      </x:c>
      <x:c r="M281" s="4" t="str">
        <x:v>ALG-92000002</x:v>
      </x:c>
      <x:c r="N281" s="4" t="str">
        <x:v>未执行</x:v>
      </x:c>
      <x:c r="O281" s="12" t="str"/>
    </x:row>
    <x:row r="282" ht="32" customHeight="1">
      <x:c r="A282" s="9" t="str">
        <x:v>PAR-0278</x:v>
      </x:c>
      <x:c r="B282" s="9" t="str">
        <x:v>模板</x:v>
      </x:c>
      <x:c r="C282" s="9" t="str">
        <x:v>92000002</x:v>
      </x:c>
      <x:c r="D282" s="9" t="str">
        <x:v>图片人脸比对</x:v>
      </x:c>
      <x:c r="E282" s="9" t="str">
        <x:v>aiParam.fullFace.confidence</x:v>
      </x:c>
      <x:c r="F282" s="9" t="str">
        <x:v>fullFace置信度</x:v>
      </x:c>
      <x:c r="G282" s="9" t="str">
        <x:v>bm1688,cv186x,x86</x:v>
      </x:c>
      <x:c r="H282" s="9" t="str">
        <x:v>0</x:v>
      </x:c>
      <x:c r="I282" s="9" t="str">
        <x:v>min=; max=; regex=</x:v>
      </x:c>
      <x:c r="J282" s="9" t="str"/>
      <x:c r="K282" s="9" t="str">
        <x:v>fullFace置信度，范围：0.0~1.0，限小数点后3位。</x:v>
      </x:c>
      <x:c r="L282" s="9" t="str">
        <x:v>默认/合法替代/空/非法类型；按已确认范围测min、max及相邻越界；保存回读并验证行为</x:v>
      </x:c>
      <x:c r="M282" s="9" t="str">
        <x:v>ALG-92000002</x:v>
      </x:c>
      <x:c r="N282" s="9" t="str">
        <x:v>未执行</x:v>
      </x:c>
      <x:c r="O282" s="12" t="str"/>
    </x:row>
    <x:row r="283" ht="32" customHeight="1">
      <x:c r="A283" s="4" t="str">
        <x:v>PAR-0279</x:v>
      </x:c>
      <x:c r="B283" s="4" t="str">
        <x:v>模板</x:v>
      </x:c>
      <x:c r="C283" s="4" t="str">
        <x:v>92000002</x:v>
      </x:c>
      <x:c r="D283" s="4" t="str">
        <x:v>图片人脸比对</x:v>
      </x:c>
      <x:c r="E283" s="4" t="str">
        <x:v>aiParam.faceBlur0.confidence</x:v>
      </x:c>
      <x:c r="F283" s="4" t="str">
        <x:v>faceBlur0置信度</x:v>
      </x:c>
      <x:c r="G283" s="4" t="str">
        <x:v>bm1688,cv186x,x86</x:v>
      </x:c>
      <x:c r="H283" s="4" t="str">
        <x:v>0</x:v>
      </x:c>
      <x:c r="I283" s="4" t="str">
        <x:v>min=; max=; regex=</x:v>
      </x:c>
      <x:c r="J283" s="4" t="str"/>
      <x:c r="K283" s="4" t="str">
        <x:v>faceBlur0置信度，范围：0.0~1.0，限小数点后3位。</x:v>
      </x:c>
      <x:c r="L283" s="4" t="str">
        <x:v>默认/合法替代/空/非法类型；按已确认范围测min、max及相邻越界；保存回读并验证行为</x:v>
      </x:c>
      <x:c r="M283" s="4" t="str">
        <x:v>ALG-92000002</x:v>
      </x:c>
      <x:c r="N283" s="4" t="str">
        <x:v>未执行</x:v>
      </x:c>
      <x:c r="O283" s="12" t="str"/>
    </x:row>
    <x:row r="284" ht="32" customHeight="1">
      <x:c r="A284" s="9" t="str">
        <x:v>PAR-0280</x:v>
      </x:c>
      <x:c r="B284" s="9" t="str">
        <x:v>模板</x:v>
      </x:c>
      <x:c r="C284" s="9" t="str">
        <x:v>92000002</x:v>
      </x:c>
      <x:c r="D284" s="9" t="str">
        <x:v>图片人脸比对</x:v>
      </x:c>
      <x:c r="E284" s="9" t="str">
        <x:v>aiParam.faceBlur1.confidence</x:v>
      </x:c>
      <x:c r="F284" s="9" t="str">
        <x:v>faceBlur1置信度</x:v>
      </x:c>
      <x:c r="G284" s="9" t="str">
        <x:v>bm1688,cv186x,x86</x:v>
      </x:c>
      <x:c r="H284" s="9" t="str">
        <x:v>0</x:v>
      </x:c>
      <x:c r="I284" s="9" t="str">
        <x:v>min=; max=; regex=</x:v>
      </x:c>
      <x:c r="J284" s="9" t="str"/>
      <x:c r="K284" s="9" t="str">
        <x:v>faceBlur1置信度，范围：0.0~1.0，限小数点后3位。</x:v>
      </x:c>
      <x:c r="L284" s="9" t="str">
        <x:v>默认/合法替代/空/非法类型；按已确认范围测min、max及相邻越界；保存回读并验证行为</x:v>
      </x:c>
      <x:c r="M284" s="9" t="str">
        <x:v>ALG-92000002</x:v>
      </x:c>
      <x:c r="N284" s="9" t="str">
        <x:v>未执行</x:v>
      </x:c>
      <x:c r="O284" s="12" t="str"/>
    </x:row>
    <x:row r="285" ht="32" customHeight="1">
      <x:c r="A285" s="4" t="str">
        <x:v>PAR-0281</x:v>
      </x:c>
      <x:c r="B285" s="4" t="str">
        <x:v>模板</x:v>
      </x:c>
      <x:c r="C285" s="4" t="str">
        <x:v>92000002</x:v>
      </x:c>
      <x:c r="D285" s="4" t="str">
        <x:v>图片人脸比对</x:v>
      </x:c>
      <x:c r="E285" s="4" t="str">
        <x:v>aiParam.faceBlur2.confidence</x:v>
      </x:c>
      <x:c r="F285" s="4" t="str">
        <x:v>faceBlur2置信度</x:v>
      </x:c>
      <x:c r="G285" s="4" t="str">
        <x:v>bm1688,cv186x,x86</x:v>
      </x:c>
      <x:c r="H285" s="4" t="str">
        <x:v>0</x:v>
      </x:c>
      <x:c r="I285" s="4" t="str">
        <x:v>min=; max=; regex=</x:v>
      </x:c>
      <x:c r="J285" s="4" t="str"/>
      <x:c r="K285" s="4" t="str">
        <x:v>faceBlur2置信度，范围：0.0~1.0，限小数点后3位。</x:v>
      </x:c>
      <x:c r="L285" s="4" t="str">
        <x:v>默认/合法替代/空/非法类型；按已确认范围测min、max及相邻越界；保存回读并验证行为</x:v>
      </x:c>
      <x:c r="M285" s="4" t="str">
        <x:v>ALG-92000002</x:v>
      </x:c>
      <x:c r="N285" s="4" t="str">
        <x:v>未执行</x:v>
      </x:c>
      <x:c r="O285" s="12" t="str"/>
    </x:row>
    <x:row r="286" ht="32" customHeight="1">
      <x:c r="A286" s="9" t="str">
        <x:v>PAR-0282</x:v>
      </x:c>
      <x:c r="B286" s="9" t="str">
        <x:v>模板</x:v>
      </x:c>
      <x:c r="C286" s="9" t="str">
        <x:v>92000002</x:v>
      </x:c>
      <x:c r="D286" s="9" t="str">
        <x:v>图片人脸比对</x:v>
      </x:c>
      <x:c r="E286" s="9" t="str">
        <x:v>param.faceSet</x:v>
      </x:c>
      <x:c r="F286" s="9" t="str">
        <x:v>绑定人脸分组</x:v>
      </x:c>
      <x:c r="G286" s="9" t="str">
        <x:v>bm1688,cv186x,x86</x:v>
      </x:c>
      <x:c r="H286" s="9" t="str"/>
      <x:c r="I286" s="9" t="str">
        <x:v>min=; max=; regex=</x:v>
      </x:c>
      <x:c r="J286" s="9" t="str"/>
      <x:c r="K286" s="9" t="str">
        <x:v>选择需要比对的脸库分组</x:v>
      </x:c>
      <x:c r="L286" s="9" t="str">
        <x:v>默认/合法替代/空/非法类型；按已确认范围测min、max及相邻越界；保存回读并验证行为</x:v>
      </x:c>
      <x:c r="M286" s="9" t="str">
        <x:v>ALG-92000002</x:v>
      </x:c>
      <x:c r="N286" s="9" t="str">
        <x:v>未执行</x:v>
      </x:c>
      <x:c r="O286" s="12" t="str"/>
    </x:row>
    <x:row r="287" ht="40" customHeight="1">
      <x:c r="A287" s="4" t="str">
        <x:v>PAR-0283</x:v>
      </x:c>
      <x:c r="B287" s="4" t="str">
        <x:v>模板</x:v>
      </x:c>
      <x:c r="C287" s="4" t="str">
        <x:v>92000002</x:v>
      </x:c>
      <x:c r="D287" s="4" t="str">
        <x:v>图片人脸比对</x:v>
      </x:c>
      <x:c r="E287" s="4" t="str">
        <x:v>filter.face.side.min</x:v>
      </x:c>
      <x:c r="F287" s="4" t="str">
        <x:v>最小face尺寸</x:v>
      </x:c>
      <x:c r="G287" s="4" t="str">
        <x:v>bm1688,cv186x,x86</x:v>
      </x:c>
      <x:c r="H287" s="4" t="str">
        <x:v>60</x:v>
      </x:c>
      <x:c r="I287" s="4" t="str">
        <x:v>min=; max=; regex=/^(0|[1-9]|[1-9][0-9]|[1-9][0-9][0-9]|[1-9][0-9][0-9][0-9]|10000)$/</x:v>
      </x:c>
      <x:c r="J287" s="4" t="str"/>
      <x:c r="K287" s="4" t="str">
        <x:v>最小face尺寸：face抓拍照片的最小图像尺寸。如输入值为100，则最小face尺寸为100*100像素。范围：10px~1000像素 默认：100像素。</x:v>
      </x:c>
      <x:c r="L287" s="4" t="str">
        <x:v>默认/合法替代/空/非法类型；按已确认范围测min、max及相邻越界；保存回读并验证行为</x:v>
      </x:c>
      <x:c r="M287" s="4" t="str">
        <x:v>ALG-92000002</x:v>
      </x:c>
      <x:c r="N287" s="4" t="str">
        <x:v>未执行</x:v>
      </x:c>
      <x:c r="O287" s="12" t="str"/>
    </x:row>
    <x:row r="288" ht="32" customHeight="1">
      <x:c r="A288" s="9" t="str">
        <x:v>PAR-0284</x:v>
      </x:c>
      <x:c r="B288" s="9" t="str">
        <x:v>模板</x:v>
      </x:c>
      <x:c r="C288" s="9" t="str">
        <x:v>92000006</x:v>
      </x:c>
      <x:c r="D288" s="9" t="str">
        <x:v>图片人员跌倒</x:v>
      </x:c>
      <x:c r="E288" s="9" t="str">
        <x:v>aiParam.pedestrian.confidence</x:v>
      </x:c>
      <x:c r="F288" s="9" t="str">
        <x:v>行人置信度</x:v>
      </x:c>
      <x:c r="G288" s="9" t="str">
        <x:v>bm1688,cv186x,x86</x:v>
      </x:c>
      <x:c r="H288" s="9" t="str">
        <x:v>0.6299999952316284</x:v>
      </x:c>
      <x:c r="I288" s="9" t="str">
        <x:v>min=; max=; regex=</x:v>
      </x:c>
      <x:c r="J288" s="9" t="str"/>
      <x:c r="K288" s="9" t="str">
        <x:v>行人置信度，范围：0.0~1.0，限小数点后3位。</x:v>
      </x:c>
      <x:c r="L288" s="9" t="str">
        <x:v>默认/合法替代/空/非法类型；按已确认范围测min、max及相邻越界；保存回读并验证行为</x:v>
      </x:c>
      <x:c r="M288" s="9" t="str">
        <x:v>ALG-92000006</x:v>
      </x:c>
      <x:c r="N288" s="9" t="str">
        <x:v>未执行</x:v>
      </x:c>
      <x:c r="O288" s="12" t="str"/>
    </x:row>
    <x:row r="289" ht="32" customHeight="1">
      <x:c r="A289" s="4" t="str">
        <x:v>PAR-0285</x:v>
      </x:c>
      <x:c r="B289" s="4" t="str">
        <x:v>模板</x:v>
      </x:c>
      <x:c r="C289" s="4" t="str">
        <x:v>92000006</x:v>
      </x:c>
      <x:c r="D289" s="4" t="str">
        <x:v>图片人员跌倒</x:v>
      </x:c>
      <x:c r="E289" s="4" t="str">
        <x:v>aiParam.pedfalldown.confidence</x:v>
      </x:c>
      <x:c r="F289" s="4" t="str">
        <x:v>跌倒置信度</x:v>
      </x:c>
      <x:c r="G289" s="4" t="str">
        <x:v>bm1688,cv186x,x86</x:v>
      </x:c>
      <x:c r="H289" s="4" t="str">
        <x:v>0.800000011920929</x:v>
      </x:c>
      <x:c r="I289" s="4" t="str">
        <x:v>min=; max=; regex=</x:v>
      </x:c>
      <x:c r="J289" s="4" t="str"/>
      <x:c r="K289" s="4" t="str">
        <x:v>跌倒置信度，范围：0.0~1.0，限小数点后3位。</x:v>
      </x:c>
      <x:c r="L289" s="4" t="str">
        <x:v>默认/合法替代/空/非法类型；按已确认范围测min、max及相邻越界；保存回读并验证行为</x:v>
      </x:c>
      <x:c r="M289" s="4" t="str">
        <x:v>ALG-92000006</x:v>
      </x:c>
      <x:c r="N289" s="4" t="str">
        <x:v>未执行</x:v>
      </x:c>
      <x:c r="O289" s="12" t="str"/>
    </x:row>
    <x:row r="290" ht="40" customHeight="1">
      <x:c r="A290" s="9" t="str">
        <x:v>PAR-0286</x:v>
      </x:c>
      <x:c r="B290" s="9" t="str">
        <x:v>模板</x:v>
      </x:c>
      <x:c r="C290" s="9" t="str">
        <x:v>92000006</x:v>
      </x:c>
      <x:c r="D290" s="9" t="str">
        <x:v>图片人员跌倒</x:v>
      </x:c>
      <x:c r="E290" s="9" t="str">
        <x:v>filter.pedestrian.side.min</x:v>
      </x:c>
      <x:c r="F290" s="9" t="str">
        <x:v>最小行人尺寸</x:v>
      </x:c>
      <x:c r="G290" s="9" t="str">
        <x:v>bm1688,cv186x,x86</x:v>
      </x:c>
      <x:c r="H290" s="9" t="str">
        <x:v>60</x:v>
      </x:c>
      <x:c r="I290" s="9" t="str">
        <x:v>min=; max=; regex=/^(0|[1-9]|[1-9][0-9]|[1-9][0-9][0-9]|[1-9][0-9][0-9][0-9]|10000)$/</x:v>
      </x:c>
      <x:c r="J290" s="9" t="str"/>
      <x:c r="K290" s="9" t="str">
        <x:v>最小行人尺寸：行人抓拍照片的最小图像尺寸。如输入值为100，则最小行人尺寸为100*100像素。范围：10px~1000像素 默认：100像素。</x:v>
      </x:c>
      <x:c r="L290" s="9" t="str">
        <x:v>默认/合法替代/空/非法类型；按已确认范围测min、max及相邻越界；保存回读并验证行为</x:v>
      </x:c>
      <x:c r="M290" s="9" t="str">
        <x:v>ALG-92000006</x:v>
      </x:c>
      <x:c r="N290" s="9" t="str">
        <x:v>未执行</x:v>
      </x:c>
      <x:c r="O290" s="12" t="str"/>
    </x:row>
    <x:row r="291" ht="32" customHeight="1">
      <x:c r="A291" s="4" t="str">
        <x:v>PAR-0287</x:v>
      </x:c>
      <x:c r="B291" s="4" t="str">
        <x:v>模板</x:v>
      </x:c>
      <x:c r="C291" s="4" t="str">
        <x:v>92000009</x:v>
      </x:c>
      <x:c r="D291" s="4" t="str">
        <x:v>图片烟雾检测</x:v>
      </x:c>
      <x:c r="E291" s="4" t="str">
        <x:v>aiParam.smog.confidence</x:v>
      </x:c>
      <x:c r="F291" s="4" t="str">
        <x:v>烟雾置信度</x:v>
      </x:c>
      <x:c r="G291" s="4" t="str">
        <x:v>bm1688,cv186x,x86</x:v>
      </x:c>
      <x:c r="H291" s="4" t="str">
        <x:v>0.6200000047683716</x:v>
      </x:c>
      <x:c r="I291" s="4" t="str">
        <x:v>min=; max=; regex=</x:v>
      </x:c>
      <x:c r="J291" s="4" t="str"/>
      <x:c r="K291" s="4" t="str">
        <x:v>烟雾置信度，范围：0.0~1.0，限小数点后3位。</x:v>
      </x:c>
      <x:c r="L291" s="4" t="str">
        <x:v>默认/合法替代/空/非法类型；按已确认范围测min、max及相邻越界；保存回读并验证行为</x:v>
      </x:c>
      <x:c r="M291" s="4" t="str">
        <x:v>ALG-92000009</x:v>
      </x:c>
      <x:c r="N291" s="4" t="str">
        <x:v>未执行</x:v>
      </x:c>
      <x:c r="O291" s="12" t="str"/>
    </x:row>
    <x:row r="292" ht="40" customHeight="1">
      <x:c r="A292" s="9" t="str">
        <x:v>PAR-0288</x:v>
      </x:c>
      <x:c r="B292" s="9" t="str">
        <x:v>模板</x:v>
      </x:c>
      <x:c r="C292" s="9" t="str">
        <x:v>92000009</x:v>
      </x:c>
      <x:c r="D292" s="9" t="str">
        <x:v>图片烟雾检测</x:v>
      </x:c>
      <x:c r="E292" s="9" t="str">
        <x:v>filter.smog.side.min</x:v>
      </x:c>
      <x:c r="F292" s="9" t="str">
        <x:v>最小烟雾尺寸</x:v>
      </x:c>
      <x:c r="G292" s="9" t="str">
        <x:v>bm1688,cv186x,x86</x:v>
      </x:c>
      <x:c r="H292" s="9" t="str">
        <x:v>60</x:v>
      </x:c>
      <x:c r="I292" s="9" t="str">
        <x:v>min=; max=; regex=/^(0|[1-9]|[1-9][0-9]|[1-9][0-9][0-9]|[1-9][0-9][0-9][0-9]|10000)$/</x:v>
      </x:c>
      <x:c r="J292" s="9" t="str"/>
      <x:c r="K292" s="9" t="str">
        <x:v>最小烟雾尺寸：烟雾抓拍照片的最小图像尺寸。如输入值为100，则最小烟雾尺寸为100*100像素。范围：10px~1000像素 默认：100像素。</x:v>
      </x:c>
      <x:c r="L292" s="9" t="str">
        <x:v>默认/合法替代/空/非法类型；按已确认范围测min、max及相邻越界；保存回读并验证行为</x:v>
      </x:c>
      <x:c r="M292" s="9" t="str">
        <x:v>ALG-92000009</x:v>
      </x:c>
      <x:c r="N292" s="9" t="str">
        <x:v>未执行</x:v>
      </x:c>
      <x:c r="O292" s="12" t="str"/>
    </x:row>
    <x:row r="293" ht="32" customHeight="1">
      <x:c r="A293" s="4" t="str">
        <x:v>PAR-0289</x:v>
      </x:c>
      <x:c r="B293" s="4" t="str">
        <x:v>模板</x:v>
      </x:c>
      <x:c r="C293" s="4" t="str">
        <x:v>92000010</x:v>
      </x:c>
      <x:c r="D293" s="4" t="str">
        <x:v>图片火焰检测</x:v>
      </x:c>
      <x:c r="E293" s="4" t="str">
        <x:v>aiParam.fire.confidence</x:v>
      </x:c>
      <x:c r="F293" s="4" t="str">
        <x:v>火焰置信度</x:v>
      </x:c>
      <x:c r="G293" s="4" t="str">
        <x:v>bm1688,cv186x,x86</x:v>
      </x:c>
      <x:c r="H293" s="4" t="str">
        <x:v>0.550000011920929</x:v>
      </x:c>
      <x:c r="I293" s="4" t="str">
        <x:v>min=; max=; regex=</x:v>
      </x:c>
      <x:c r="J293" s="4" t="str"/>
      <x:c r="K293" s="4" t="str">
        <x:v>火焰置信度，范围：0.0~1.0，限小数点后3位。</x:v>
      </x:c>
      <x:c r="L293" s="4" t="str">
        <x:v>默认/合法替代/空/非法类型；按已确认范围测min、max及相邻越界；保存回读并验证行为</x:v>
      </x:c>
      <x:c r="M293" s="4" t="str">
        <x:v>ALG-92000010</x:v>
      </x:c>
      <x:c r="N293" s="4" t="str">
        <x:v>未执行</x:v>
      </x:c>
      <x:c r="O293" s="12" t="str"/>
    </x:row>
    <x:row r="294" ht="40" customHeight="1">
      <x:c r="A294" s="9" t="str">
        <x:v>PAR-0290</x:v>
      </x:c>
      <x:c r="B294" s="9" t="str">
        <x:v>模板</x:v>
      </x:c>
      <x:c r="C294" s="9" t="str">
        <x:v>92000010</x:v>
      </x:c>
      <x:c r="D294" s="9" t="str">
        <x:v>图片火焰检测</x:v>
      </x:c>
      <x:c r="E294" s="9" t="str">
        <x:v>filter.fire.side.min</x:v>
      </x:c>
      <x:c r="F294" s="9" t="str">
        <x:v>最小火焰尺寸</x:v>
      </x:c>
      <x:c r="G294" s="9" t="str">
        <x:v>bm1688,cv186x,x86</x:v>
      </x:c>
      <x:c r="H294" s="9" t="str">
        <x:v>60</x:v>
      </x:c>
      <x:c r="I294" s="9" t="str">
        <x:v>min=; max=; regex=/^(0|[1-9]|[1-9][0-9]|[1-9][0-9][0-9]|[1-9][0-9][0-9][0-9]|10000)$/</x:v>
      </x:c>
      <x:c r="J294" s="9" t="str"/>
      <x:c r="K294" s="9" t="str">
        <x:v>最小火焰尺寸：火焰抓拍照片的最小图像尺寸。如输入值为100，则最小火焰尺寸为100*100像素。范围：10px~1000像素 默认：100像素。</x:v>
      </x:c>
      <x:c r="L294" s="9" t="str">
        <x:v>默认/合法替代/空/非法类型；按已确认范围测min、max及相邻越界；保存回读并验证行为</x:v>
      </x:c>
      <x:c r="M294" s="9" t="str">
        <x:v>ALG-92000010</x:v>
      </x:c>
      <x:c r="N294" s="9" t="str">
        <x:v>未执行</x:v>
      </x:c>
      <x:c r="O294" s="12" t="str"/>
    </x:row>
    <x:row r="295" ht="32" customHeight="1">
      <x:c r="A295" s="4" t="str">
        <x:v>PAR-0291</x:v>
      </x:c>
      <x:c r="B295" s="4" t="str">
        <x:v>模板</x:v>
      </x:c>
      <x:c r="C295" s="4" t="str">
        <x:v>92000011</x:v>
      </x:c>
      <x:c r="D295" s="4" t="str">
        <x:v>图片吸烟检测</x:v>
      </x:c>
      <x:c r="E295" s="4" t="str">
        <x:v>aiParam.pedestrian.confidence</x:v>
      </x:c>
      <x:c r="F295" s="4" t="str">
        <x:v>行人置信度</x:v>
      </x:c>
      <x:c r="G295" s="4" t="str">
        <x:v>bm1688,cv186x,x86</x:v>
      </x:c>
      <x:c r="H295" s="4" t="str">
        <x:v>0.6299999952316284</x:v>
      </x:c>
      <x:c r="I295" s="4" t="str">
        <x:v>min=; max=; regex=</x:v>
      </x:c>
      <x:c r="J295" s="4" t="str"/>
      <x:c r="K295" s="4" t="str">
        <x:v>行人置信度，范围：0.0~1.0，限小数点后3位。</x:v>
      </x:c>
      <x:c r="L295" s="4" t="str">
        <x:v>默认/合法替代/空/非法类型；按已确认范围测min、max及相邻越界；保存回读并验证行为</x:v>
      </x:c>
      <x:c r="M295" s="4" t="str">
        <x:v>ALG-92000011</x:v>
      </x:c>
      <x:c r="N295" s="4" t="str">
        <x:v>未执行</x:v>
      </x:c>
      <x:c r="O295" s="12" t="str"/>
    </x:row>
    <x:row r="296" ht="32" customHeight="1">
      <x:c r="A296" s="9" t="str">
        <x:v>PAR-0292</x:v>
      </x:c>
      <x:c r="B296" s="9" t="str">
        <x:v>模板</x:v>
      </x:c>
      <x:c r="C296" s="9" t="str">
        <x:v>92000011</x:v>
      </x:c>
      <x:c r="D296" s="9" t="str">
        <x:v>图片吸烟检测</x:v>
      </x:c>
      <x:c r="E296" s="9" t="str">
        <x:v>aiParam.pedSmoking.confidence</x:v>
      </x:c>
      <x:c r="F296" s="9" t="str">
        <x:v>抽烟置信度</x:v>
      </x:c>
      <x:c r="G296" s="9" t="str">
        <x:v>bm1688,cv186x,x86</x:v>
      </x:c>
      <x:c r="H296" s="9" t="str">
        <x:v>0.8399999737739563</x:v>
      </x:c>
      <x:c r="I296" s="9" t="str">
        <x:v>min=; max=; regex=</x:v>
      </x:c>
      <x:c r="J296" s="9" t="str"/>
      <x:c r="K296" s="9" t="str">
        <x:v>抽烟置信度，范围：0.0~1.0，限小数点后3位。</x:v>
      </x:c>
      <x:c r="L296" s="9" t="str">
        <x:v>默认/合法替代/空/非法类型；按已确认范围测min、max及相邻越界；保存回读并验证行为</x:v>
      </x:c>
      <x:c r="M296" s="9" t="str">
        <x:v>ALG-92000011</x:v>
      </x:c>
      <x:c r="N296" s="9" t="str">
        <x:v>未执行</x:v>
      </x:c>
      <x:c r="O296" s="12" t="str"/>
    </x:row>
    <x:row r="297" ht="40" customHeight="1">
      <x:c r="A297" s="4" t="str">
        <x:v>PAR-0293</x:v>
      </x:c>
      <x:c r="B297" s="4" t="str">
        <x:v>模板</x:v>
      </x:c>
      <x:c r="C297" s="4" t="str">
        <x:v>92000011</x:v>
      </x:c>
      <x:c r="D297" s="4" t="str">
        <x:v>图片吸烟检测</x:v>
      </x:c>
      <x:c r="E297" s="4" t="str">
        <x:v>filter.pedestrian.side.min</x:v>
      </x:c>
      <x:c r="F297" s="4" t="str">
        <x:v>最小行人尺寸</x:v>
      </x:c>
      <x:c r="G297" s="4" t="str">
        <x:v>bm1688,cv186x,x86</x:v>
      </x:c>
      <x:c r="H297" s="4" t="str">
        <x:v>60</x:v>
      </x:c>
      <x:c r="I297" s="4" t="str">
        <x:v>min=; max=; regex=/^(0|[1-9]|[1-9][0-9]|[1-9][0-9][0-9]|[1-9][0-9][0-9][0-9]|10000)$/</x:v>
      </x:c>
      <x:c r="J297" s="4" t="str"/>
      <x:c r="K297" s="4" t="str">
        <x:v>最小行人尺寸：行人抓拍照片的最小图像尺寸。如输入值为100，则最小行人尺寸为100*100像素。范围：10px~1000像素 默认：100像素。</x:v>
      </x:c>
      <x:c r="L297" s="4" t="str">
        <x:v>默认/合法替代/空/非法类型；按已确认范围测min、max及相邻越界；保存回读并验证行为</x:v>
      </x:c>
      <x:c r="M297" s="4" t="str">
        <x:v>ALG-92000011</x:v>
      </x:c>
      <x:c r="N297" s="4" t="str">
        <x:v>未执行</x:v>
      </x:c>
      <x:c r="O297" s="12" t="str"/>
    </x:row>
    <x:row r="298" ht="32" customHeight="1">
      <x:c r="A298" s="9" t="str">
        <x:v>PAR-0294</x:v>
      </x:c>
      <x:c r="B298" s="9" t="str">
        <x:v>模板</x:v>
      </x:c>
      <x:c r="C298" s="9" t="str">
        <x:v>92000012</x:v>
      </x:c>
      <x:c r="D298" s="9" t="str">
        <x:v>图片打电话检测</x:v>
      </x:c>
      <x:c r="E298" s="9" t="str">
        <x:v>aiParam.pedestrian.confidence</x:v>
      </x:c>
      <x:c r="F298" s="9" t="str">
        <x:v>行人置信度</x:v>
      </x:c>
      <x:c r="G298" s="9" t="str">
        <x:v>bm1688,cv186x,x86</x:v>
      </x:c>
      <x:c r="H298" s="9" t="str">
        <x:v>0.5926</x:v>
      </x:c>
      <x:c r="I298" s="9" t="str">
        <x:v>min=; max=; regex=</x:v>
      </x:c>
      <x:c r="J298" s="9" t="str"/>
      <x:c r="K298" s="9" t="str">
        <x:v>行人置信度，范围：0.0~1.0，限小数点后3位。</x:v>
      </x:c>
      <x:c r="L298" s="9" t="str">
        <x:v>默认/合法替代/空/非法类型；按已确认范围测min、max及相邻越界；保存回读并验证行为</x:v>
      </x:c>
      <x:c r="M298" s="9" t="str">
        <x:v>ALG-92000012</x:v>
      </x:c>
      <x:c r="N298" s="9" t="str">
        <x:v>未执行</x:v>
      </x:c>
      <x:c r="O298" s="12" t="str"/>
    </x:row>
    <x:row r="299" ht="32" customHeight="1">
      <x:c r="A299" s="4" t="str">
        <x:v>PAR-0295</x:v>
      </x:c>
      <x:c r="B299" s="4" t="str">
        <x:v>模板</x:v>
      </x:c>
      <x:c r="C299" s="4" t="str">
        <x:v>92000012</x:v>
      </x:c>
      <x:c r="D299" s="4" t="str">
        <x:v>图片打电话检测</x:v>
      </x:c>
      <x:c r="E299" s="4" t="str">
        <x:v>aiParam.pedPhoneAnswer.confidence</x:v>
      </x:c>
      <x:c r="F299" s="4" t="str">
        <x:v>打电话置信度</x:v>
      </x:c>
      <x:c r="G299" s="4" t="str">
        <x:v>bm1688,cv186x,x86</x:v>
      </x:c>
      <x:c r="H299" s="4" t="str"/>
      <x:c r="I299" s="4" t="str">
        <x:v>min=; max=; regex=</x:v>
      </x:c>
      <x:c r="J299" s="4" t="str"/>
      <x:c r="K299" s="4" t="str">
        <x:v>打电话置信度，范围：0.0~1.0，限小数点后3位。</x:v>
      </x:c>
      <x:c r="L299" s="4" t="str">
        <x:v>默认/合法替代/空/非法类型；按已确认范围测min、max及相邻越界；保存回读并验证行为</x:v>
      </x:c>
      <x:c r="M299" s="4" t="str">
        <x:v>ALG-92000012</x:v>
      </x:c>
      <x:c r="N299" s="4" t="str">
        <x:v>未执行</x:v>
      </x:c>
      <x:c r="O299" s="12" t="str"/>
    </x:row>
    <x:row r="300" ht="40" customHeight="1">
      <x:c r="A300" s="9" t="str">
        <x:v>PAR-0296</x:v>
      </x:c>
      <x:c r="B300" s="9" t="str">
        <x:v>模板</x:v>
      </x:c>
      <x:c r="C300" s="9" t="str">
        <x:v>92000012</x:v>
      </x:c>
      <x:c r="D300" s="9" t="str">
        <x:v>图片打电话检测</x:v>
      </x:c>
      <x:c r="E300" s="9" t="str">
        <x:v>filter.pedestrian.side.min</x:v>
      </x:c>
      <x:c r="F300" s="9" t="str">
        <x:v>最小行人尺寸</x:v>
      </x:c>
      <x:c r="G300" s="9" t="str">
        <x:v>bm1688,cv186x,x86</x:v>
      </x:c>
      <x:c r="H300" s="9" t="str">
        <x:v>60</x:v>
      </x:c>
      <x:c r="I300" s="9" t="str">
        <x:v>min=; max=; regex=/^(0|[1-9]|[1-9][0-9]|[1-9][0-9][0-9]|[1-9][0-9][0-9][0-9]|10000)$/</x:v>
      </x:c>
      <x:c r="J300" s="9" t="str"/>
      <x:c r="K300" s="9" t="str">
        <x:v>最小行人尺寸：行人抓拍照片的最小图像尺寸。如输入值为100，则最小行人尺寸为100*100像素。范围：10px~1000像素 默认：100像素。</x:v>
      </x:c>
      <x:c r="L300" s="9" t="str">
        <x:v>默认/合法替代/空/非法类型；按已确认范围测min、max及相邻越界；保存回读并验证行为</x:v>
      </x:c>
      <x:c r="M300" s="9" t="str">
        <x:v>ALG-92000012</x:v>
      </x:c>
      <x:c r="N300" s="9" t="str">
        <x:v>未执行</x:v>
      </x:c>
      <x:c r="O300" s="12" t="str"/>
    </x:row>
    <x:row r="301" ht="32" customHeight="1">
      <x:c r="A301" s="4" t="str">
        <x:v>PAR-0297</x:v>
      </x:c>
      <x:c r="B301" s="4" t="str">
        <x:v>模板</x:v>
      </x:c>
      <x:c r="C301" s="4" t="str">
        <x:v>92000015</x:v>
      </x:c>
      <x:c r="D301" s="4" t="str">
        <x:v>图片未戴安全帽</x:v>
      </x:c>
      <x:c r="E301" s="4" t="str">
        <x:v>aiParam.pedSafeHelmet.confidence</x:v>
      </x:c>
      <x:c r="F301" s="4" t="str">
        <x:v>安全帽置信度</x:v>
      </x:c>
      <x:c r="G301" s="4" t="str">
        <x:v>bm1688,cv186x,x86</x:v>
      </x:c>
      <x:c r="H301" s="4" t="str">
        <x:v>0.1</x:v>
      </x:c>
      <x:c r="I301" s="4" t="str">
        <x:v>min=; max=; regex=</x:v>
      </x:c>
      <x:c r="J301" s="4" t="str"/>
      <x:c r="K301" s="4" t="str">
        <x:v>安全帽置信度，范围：0.0~1.0，限小数点后3位。</x:v>
      </x:c>
      <x:c r="L301" s="4" t="str">
        <x:v>默认/合法替代/空/非法类型；按已确认范围测min、max及相邻越界；保存回读并验证行为</x:v>
      </x:c>
      <x:c r="M301" s="4" t="str">
        <x:v>ALG-92000015</x:v>
      </x:c>
      <x:c r="N301" s="4" t="str">
        <x:v>未执行</x:v>
      </x:c>
      <x:c r="O301" s="12" t="str"/>
    </x:row>
    <x:row r="302" ht="32" customHeight="1">
      <x:c r="A302" s="9" t="str">
        <x:v>PAR-0298</x:v>
      </x:c>
      <x:c r="B302" s="9" t="str">
        <x:v>模板</x:v>
      </x:c>
      <x:c r="C302" s="9" t="str">
        <x:v>92000015</x:v>
      </x:c>
      <x:c r="D302" s="9" t="str">
        <x:v>图片未戴安全帽</x:v>
      </x:c>
      <x:c r="E302" s="9" t="str">
        <x:v>aiParam.pedestrian.confidence</x:v>
      </x:c>
      <x:c r="F302" s="9" t="str">
        <x:v>行人置信度</x:v>
      </x:c>
      <x:c r="G302" s="9" t="str">
        <x:v>bm1688,cv186x,x86</x:v>
      </x:c>
      <x:c r="H302" s="9" t="str">
        <x:v>0.63</x:v>
      </x:c>
      <x:c r="I302" s="9" t="str">
        <x:v>min=; max=; regex=</x:v>
      </x:c>
      <x:c r="J302" s="9" t="str"/>
      <x:c r="K302" s="9" t="str">
        <x:v>行人置信度，范围：0.0~1.0，限小数点后3位。</x:v>
      </x:c>
      <x:c r="L302" s="9" t="str">
        <x:v>默认/合法替代/空/非法类型；按已确认范围测min、max及相邻越界；保存回读并验证行为</x:v>
      </x:c>
      <x:c r="M302" s="9" t="str">
        <x:v>ALG-92000015</x:v>
      </x:c>
      <x:c r="N302" s="9" t="str">
        <x:v>未执行</x:v>
      </x:c>
      <x:c r="O302" s="12" t="str"/>
    </x:row>
    <x:row r="303" ht="40" customHeight="1">
      <x:c r="A303" s="4" t="str">
        <x:v>PAR-0299</x:v>
      </x:c>
      <x:c r="B303" s="4" t="str">
        <x:v>模板</x:v>
      </x:c>
      <x:c r="C303" s="4" t="str">
        <x:v>92000015</x:v>
      </x:c>
      <x:c r="D303" s="4" t="str">
        <x:v>图片未戴安全帽</x:v>
      </x:c>
      <x:c r="E303" s="4" t="str">
        <x:v>filter.pedestrian.side.min</x:v>
      </x:c>
      <x:c r="F303" s="4" t="str">
        <x:v>最小行人尺寸</x:v>
      </x:c>
      <x:c r="G303" s="4" t="str">
        <x:v>bm1688,cv186x,x86</x:v>
      </x:c>
      <x:c r="H303" s="4" t="str">
        <x:v>60</x:v>
      </x:c>
      <x:c r="I303" s="4" t="str">
        <x:v>min=; max=; regex=/^(0|[1-9]|[1-9][0-9]|[1-9][0-9][0-9]|[1-9][0-9][0-9][0-9]|10000)$/</x:v>
      </x:c>
      <x:c r="J303" s="4" t="str"/>
      <x:c r="K303" s="4" t="str">
        <x:v>最小行人尺寸：行人抓拍照片的最小图像尺寸。如输入值为100，则最小行人尺寸为100*100像素。范围：10px~1000像素 默认：100像素。</x:v>
      </x:c>
      <x:c r="L303" s="4" t="str">
        <x:v>默认/合法替代/空/非法类型；按已确认范围测min、max及相邻越界；保存回读并验证行为</x:v>
      </x:c>
      <x:c r="M303" s="4" t="str">
        <x:v>ALG-92000015</x:v>
      </x:c>
      <x:c r="N303" s="4" t="str">
        <x:v>未执行</x:v>
      </x:c>
      <x:c r="O303" s="12" t="str"/>
    </x:row>
    <x:row r="304" ht="32" customHeight="1">
      <x:c r="A304" s="9" t="str">
        <x:v>PAR-0300</x:v>
      </x:c>
      <x:c r="B304" s="9" t="str">
        <x:v>模板</x:v>
      </x:c>
      <x:c r="C304" s="9" t="str">
        <x:v>92000015</x:v>
      </x:c>
      <x:c r="D304" s="9" t="str">
        <x:v>图片未戴安全帽</x:v>
      </x:c>
      <x:c r="E304" s="9" t="str">
        <x:v>aiParam.pedHelmet.confidence</x:v>
      </x:c>
      <x:c r="F304" s="9" t="str">
        <x:v>头盔置信度</x:v>
      </x:c>
      <x:c r="G304" s="9" t="str">
        <x:v>bm1688,cv186x,x86</x:v>
      </x:c>
      <x:c r="H304" s="9" t="str">
        <x:v>0.39</x:v>
      </x:c>
      <x:c r="I304" s="9" t="str">
        <x:v>min=; max=; regex=</x:v>
      </x:c>
      <x:c r="J304" s="9" t="str"/>
      <x:c r="K304" s="9" t="str">
        <x:v>头盔置信度，范围：0.0~1.0，限小数点后3位。</x:v>
      </x:c>
      <x:c r="L304" s="9" t="str">
        <x:v>默认/合法替代/空/非法类型；按已确认范围测min、max及相邻越界；保存回读并验证行为</x:v>
      </x:c>
      <x:c r="M304" s="9" t="str">
        <x:v>ALG-92000015</x:v>
      </x:c>
      <x:c r="N304" s="9" t="str">
        <x:v>未执行</x:v>
      </x:c>
      <x:c r="O304" s="12" t="str"/>
    </x:row>
    <x:row r="305" ht="32" customHeight="1">
      <x:c r="A305" s="4" t="str">
        <x:v>PAR-0301</x:v>
      </x:c>
      <x:c r="B305" s="4" t="str">
        <x:v>模板</x:v>
      </x:c>
      <x:c r="C305" s="4" t="str">
        <x:v>92000015</x:v>
      </x:c>
      <x:c r="D305" s="4" t="str">
        <x:v>图片未戴安全帽</x:v>
      </x:c>
      <x:c r="E305" s="4" t="str">
        <x:v>aiParam.hatless.confidence</x:v>
      </x:c>
      <x:c r="F305" s="4" t="str">
        <x:v>无帽置信度</x:v>
      </x:c>
      <x:c r="G305" s="4" t="str">
        <x:v>bm1688,cv186x,x86</x:v>
      </x:c>
      <x:c r="H305" s="4" t="str">
        <x:v>0.95</x:v>
      </x:c>
      <x:c r="I305" s="4" t="str">
        <x:v>min=; max=; regex=</x:v>
      </x:c>
      <x:c r="J305" s="4" t="str"/>
      <x:c r="K305" s="4" t="str">
        <x:v>无帽置信度，范围：0.0~1.0，限小数点后3位。</x:v>
      </x:c>
      <x:c r="L305" s="4" t="str">
        <x:v>默认/合法替代/空/非法类型；按已确认范围测min、max及相邻越界；保存回读并验证行为</x:v>
      </x:c>
      <x:c r="M305" s="4" t="str">
        <x:v>ALG-92000015</x:v>
      </x:c>
      <x:c r="N305" s="4" t="str">
        <x:v>未执行</x:v>
      </x:c>
      <x:c r="O305" s="12" t="str"/>
    </x:row>
    <x:row r="306" ht="32" customHeight="1">
      <x:c r="A306" s="9" t="str">
        <x:v>PAR-0302</x:v>
      </x:c>
      <x:c r="B306" s="9" t="str">
        <x:v>模板</x:v>
      </x:c>
      <x:c r="C306" s="9" t="str">
        <x:v>92000015</x:v>
      </x:c>
      <x:c r="D306" s="9" t="str">
        <x:v>图片未戴安全帽</x:v>
      </x:c>
      <x:c r="E306" s="9" t="str">
        <x:v>aiParam.unsure.confidence</x:v>
      </x:c>
      <x:c r="F306" s="9" t="str">
        <x:v>不确定置信度</x:v>
      </x:c>
      <x:c r="G306" s="9" t="str">
        <x:v>bm1688,cv186x,x86</x:v>
      </x:c>
      <x:c r="H306" s="9" t="str">
        <x:v>0.3</x:v>
      </x:c>
      <x:c r="I306" s="9" t="str">
        <x:v>min=; max=; regex=</x:v>
      </x:c>
      <x:c r="J306" s="9" t="str"/>
      <x:c r="K306" s="9" t="str">
        <x:v>不确定置信度，范围：0.0~1.0，限小数点后3位。</x:v>
      </x:c>
      <x:c r="L306" s="9" t="str">
        <x:v>默认/合法替代/空/非法类型；按已确认范围测min、max及相邻越界；保存回读并验证行为</x:v>
      </x:c>
      <x:c r="M306" s="9" t="str">
        <x:v>ALG-92000015</x:v>
      </x:c>
      <x:c r="N306" s="9" t="str">
        <x:v>未执行</x:v>
      </x:c>
      <x:c r="O306" s="12" t="str"/>
    </x:row>
    <x:row r="307" ht="32" customHeight="1">
      <x:c r="A307" s="4" t="str">
        <x:v>PAR-0303</x:v>
      </x:c>
      <x:c r="B307" s="4" t="str">
        <x:v>模板</x:v>
      </x:c>
      <x:c r="C307" s="4" t="str">
        <x:v>92000022</x:v>
      </x:c>
      <x:c r="D307" s="4" t="str">
        <x:v>图片玩手机检测</x:v>
      </x:c>
      <x:c r="E307" s="4" t="str">
        <x:v>aiParam.pedestrian.confidence</x:v>
      </x:c>
      <x:c r="F307" s="4" t="str">
        <x:v>行人置信度</x:v>
      </x:c>
      <x:c r="G307" s="4" t="str">
        <x:v>bm1688,cv186x,x86</x:v>
      </x:c>
      <x:c r="H307" s="4" t="str">
        <x:v>0.6299999952316284</x:v>
      </x:c>
      <x:c r="I307" s="4" t="str">
        <x:v>min=; max=; regex=</x:v>
      </x:c>
      <x:c r="J307" s="4" t="str"/>
      <x:c r="K307" s="4" t="str">
        <x:v>行人置信度，范围：0.0~1.0，限小数点后3位。</x:v>
      </x:c>
      <x:c r="L307" s="4" t="str">
        <x:v>默认/合法替代/空/非法类型；按已确认范围测min、max及相邻越界；保存回读并验证行为</x:v>
      </x:c>
      <x:c r="M307" s="4" t="str">
        <x:v>ALG-92000022</x:v>
      </x:c>
      <x:c r="N307" s="4" t="str">
        <x:v>未执行</x:v>
      </x:c>
      <x:c r="O307" s="12" t="str"/>
    </x:row>
    <x:row r="308" ht="32" customHeight="1">
      <x:c r="A308" s="9" t="str">
        <x:v>PAR-0304</x:v>
      </x:c>
      <x:c r="B308" s="9" t="str">
        <x:v>模板</x:v>
      </x:c>
      <x:c r="C308" s="9" t="str">
        <x:v>92000022</x:v>
      </x:c>
      <x:c r="D308" s="9" t="str">
        <x:v>图片玩手机检测</x:v>
      </x:c>
      <x:c r="E308" s="9" t="str">
        <x:v>aiParam.pedPhonePlay.confidence</x:v>
      </x:c>
      <x:c r="F308" s="9" t="str">
        <x:v>玩手机置信度</x:v>
      </x:c>
      <x:c r="G308" s="9" t="str">
        <x:v>bm1688,cv186x,x86</x:v>
      </x:c>
      <x:c r="H308" s="9" t="str">
        <x:v>0.9700000286102295</x:v>
      </x:c>
      <x:c r="I308" s="9" t="str">
        <x:v>min=; max=; regex=</x:v>
      </x:c>
      <x:c r="J308" s="9" t="str"/>
      <x:c r="K308" s="9" t="str">
        <x:v>玩手机置信度，范围：0.0~1.0，限小数点后3位。</x:v>
      </x:c>
      <x:c r="L308" s="9" t="str">
        <x:v>默认/合法替代/空/非法类型；按已确认范围测min、max及相邻越界；保存回读并验证行为</x:v>
      </x:c>
      <x:c r="M308" s="9" t="str">
        <x:v>ALG-92000022</x:v>
      </x:c>
      <x:c r="N308" s="9" t="str">
        <x:v>未执行</x:v>
      </x:c>
      <x:c r="O308" s="12" t="str"/>
    </x:row>
    <x:row r="309" ht="40" customHeight="1">
      <x:c r="A309" s="4" t="str">
        <x:v>PAR-0305</x:v>
      </x:c>
      <x:c r="B309" s="4" t="str">
        <x:v>模板</x:v>
      </x:c>
      <x:c r="C309" s="4" t="str">
        <x:v>92000022</x:v>
      </x:c>
      <x:c r="D309" s="4" t="str">
        <x:v>图片玩手机检测</x:v>
      </x:c>
      <x:c r="E309" s="4" t="str">
        <x:v>filter.pedestrian.side.min</x:v>
      </x:c>
      <x:c r="F309" s="4" t="str">
        <x:v>最小行人尺寸</x:v>
      </x:c>
      <x:c r="G309" s="4" t="str">
        <x:v>bm1688,cv186x,x86</x:v>
      </x:c>
      <x:c r="H309" s="4" t="str">
        <x:v>60</x:v>
      </x:c>
      <x:c r="I309" s="4" t="str">
        <x:v>min=; max=; regex=/^(0|[1-9]|[1-9][0-9]|[1-9][0-9][0-9]|[1-9][0-9][0-9][0-9]|10000)$/</x:v>
      </x:c>
      <x:c r="J309" s="4" t="str"/>
      <x:c r="K309" s="4" t="str">
        <x:v>最小行人尺寸：行人抓拍照片的最小图像尺寸。如输入值为100，则最小行人尺寸为100*100像素。范围：10px~1000像素 默认：100像素。</x:v>
      </x:c>
      <x:c r="L309" s="4" t="str">
        <x:v>默认/合法替代/空/非法类型；按已确认范围测min、max及相邻越界；保存回读并验证行为</x:v>
      </x:c>
      <x:c r="M309" s="4" t="str">
        <x:v>ALG-92000022</x:v>
      </x:c>
      <x:c r="N309" s="4" t="str">
        <x:v>未执行</x:v>
      </x:c>
      <x:c r="O309" s="12" t="str"/>
    </x:row>
    <x:row r="310" ht="32" customHeight="1">
      <x:c r="A310" s="9" t="str">
        <x:v>PAR-0306</x:v>
      </x:c>
      <x:c r="B310" s="9" t="str">
        <x:v>模板</x:v>
      </x:c>
      <x:c r="C310" s="9" t="str">
        <x:v>92000029</x:v>
      </x:c>
      <x:c r="D310" s="9" t="str">
        <x:v>图片车牌识别</x:v>
      </x:c>
      <x:c r="E310" s="9" t="str">
        <x:v>aiParam.car_plate.confidence</x:v>
      </x:c>
      <x:c r="F310" s="9" t="str">
        <x:v>车牌置信度</x:v>
      </x:c>
      <x:c r="G310" s="9" t="str">
        <x:v>bm1688,cv186x,x86</x:v>
      </x:c>
      <x:c r="H310" s="9" t="str">
        <x:v>0.536</x:v>
      </x:c>
      <x:c r="I310" s="9" t="str">
        <x:v>min=; max=; regex=</x:v>
      </x:c>
      <x:c r="J310" s="9" t="str"/>
      <x:c r="K310" s="9" t="str">
        <x:v>车牌置信度，范围：0.0~1.0，限小数点后3位。</x:v>
      </x:c>
      <x:c r="L310" s="9" t="str">
        <x:v>默认/合法替代/空/非法类型；按已确认范围测min、max及相邻越界；保存回读并验证行为</x:v>
      </x:c>
      <x:c r="M310" s="9" t="str">
        <x:v>ALG-92000029</x:v>
      </x:c>
      <x:c r="N310" s="9" t="str">
        <x:v>未执行</x:v>
      </x:c>
      <x:c r="O310" s="12" t="str"/>
    </x:row>
    <x:row r="311" ht="32" customHeight="1">
      <x:c r="A311" s="4" t="str">
        <x:v>PAR-0307</x:v>
      </x:c>
      <x:c r="B311" s="4" t="str">
        <x:v>模板</x:v>
      </x:c>
      <x:c r="C311" s="4" t="str">
        <x:v>92000032</x:v>
      </x:c>
      <x:c r="D311" s="4" t="str">
        <x:v>图片未穿反光衣</x:v>
      </x:c>
      <x:c r="E311" s="4" t="str">
        <x:v>aiParam.pedestrian.confidence</x:v>
      </x:c>
      <x:c r="F311" s="4" t="str">
        <x:v>行人置信度</x:v>
      </x:c>
      <x:c r="G311" s="4" t="str">
        <x:v>bm1688,cv186x,x86</x:v>
      </x:c>
      <x:c r="H311" s="4" t="str">
        <x:v>0.63</x:v>
      </x:c>
      <x:c r="I311" s="4" t="str">
        <x:v>min=; max=; regex=</x:v>
      </x:c>
      <x:c r="J311" s="4" t="str"/>
      <x:c r="K311" s="4" t="str">
        <x:v>行人置信度，范围：0.0~1.0，限小数点后3位。</x:v>
      </x:c>
      <x:c r="L311" s="4" t="str">
        <x:v>默认/合法替代/空/非法类型；按已确认范围测min、max及相邻越界；保存回读并验证行为</x:v>
      </x:c>
      <x:c r="M311" s="4" t="str">
        <x:v>ALG-92000032</x:v>
      </x:c>
      <x:c r="N311" s="4" t="str">
        <x:v>未执行</x:v>
      </x:c>
      <x:c r="O311" s="12" t="str"/>
    </x:row>
    <x:row r="312" ht="32" customHeight="1">
      <x:c r="A312" s="9" t="str">
        <x:v>PAR-0308</x:v>
      </x:c>
      <x:c r="B312" s="9" t="str">
        <x:v>模板</x:v>
      </x:c>
      <x:c r="C312" s="9" t="str">
        <x:v>92000032</x:v>
      </x:c>
      <x:c r="D312" s="9" t="str">
        <x:v>图片未穿反光衣</x:v>
      </x:c>
      <x:c r="E312" s="9" t="str">
        <x:v>param.workClothesSet</x:v>
      </x:c>
      <x:c r="F312" s="9" t="str">
        <x:v>绑定工服分组</x:v>
      </x:c>
      <x:c r="G312" s="9" t="str">
        <x:v>bm1688,cv186x,x86</x:v>
      </x:c>
      <x:c r="H312" s="9" t="str"/>
      <x:c r="I312" s="9" t="str">
        <x:v>min=; max=; regex=</x:v>
      </x:c>
      <x:c r="J312" s="9" t="str"/>
      <x:c r="K312" s="9" t="str">
        <x:v>选择需要比对的工服分组</x:v>
      </x:c>
      <x:c r="L312" s="9" t="str">
        <x:v>默认/合法替代/空/非法类型；按已确认范围测min、max及相邻越界；保存回读并验证行为</x:v>
      </x:c>
      <x:c r="M312" s="9" t="str">
        <x:v>ALG-92000032</x:v>
      </x:c>
      <x:c r="N312" s="9" t="str">
        <x:v>未执行</x:v>
      </x:c>
      <x:c r="O312" s="12" t="str"/>
    </x:row>
    <x:row r="313" ht="40" customHeight="1">
      <x:c r="A313" s="4" t="str">
        <x:v>PAR-0309</x:v>
      </x:c>
      <x:c r="B313" s="4" t="str">
        <x:v>模板</x:v>
      </x:c>
      <x:c r="C313" s="4" t="str">
        <x:v>92000032</x:v>
      </x:c>
      <x:c r="D313" s="4" t="str">
        <x:v>图片未穿反光衣</x:v>
      </x:c>
      <x:c r="E313" s="4" t="str">
        <x:v>filter.pedestrian.side.min</x:v>
      </x:c>
      <x:c r="F313" s="4" t="str">
        <x:v>最小行人尺寸</x:v>
      </x:c>
      <x:c r="G313" s="4" t="str">
        <x:v>bm1688,cv186x,x86</x:v>
      </x:c>
      <x:c r="H313" s="4" t="str">
        <x:v>60</x:v>
      </x:c>
      <x:c r="I313" s="4" t="str">
        <x:v>min=; max=; regex=/^(0|[1-9]|[1-9][0-9]|[1-9][0-9][0-9]|[1-9][0-9][0-9][0-9]|10000)$/</x:v>
      </x:c>
      <x:c r="J313" s="4" t="str"/>
      <x:c r="K313" s="4" t="str">
        <x:v>最小行人尺寸：行人抓拍照片的最小图像尺寸。如输入值为100，则最小行人尺寸为100*100像素。范围：10px~1000像素 默认：100像素。</x:v>
      </x:c>
      <x:c r="L313" s="4" t="str">
        <x:v>默认/合法替代/空/非法类型；按已确认范围测min、max及相邻越界；保存回读并验证行为</x:v>
      </x:c>
      <x:c r="M313" s="4" t="str">
        <x:v>ALG-92000032</x:v>
      </x:c>
      <x:c r="N313" s="4" t="str">
        <x:v>未执行</x:v>
      </x:c>
      <x:c r="O313" s="12" t="str"/>
    </x:row>
    <x:row r="314" ht="32" customHeight="1">
      <x:c r="A314" s="9" t="str">
        <x:v>PAR-0310</x:v>
      </x:c>
      <x:c r="B314" s="9" t="str">
        <x:v>模板</x:v>
      </x:c>
      <x:c r="C314" s="9" t="str">
        <x:v>92000032</x:v>
      </x:c>
      <x:c r="D314" s="9" t="str">
        <x:v>图片未穿反光衣</x:v>
      </x:c>
      <x:c r="E314" s="9" t="str">
        <x:v>aiParam.quality0.confidence</x:v>
      </x:c>
      <x:c r="F314" s="9" t="str">
        <x:v>行人质量0置信度</x:v>
      </x:c>
      <x:c r="G314" s="9" t="str">
        <x:v>bm1688,cv186x,x86</x:v>
      </x:c>
      <x:c r="H314" s="9" t="str">
        <x:v>0</x:v>
      </x:c>
      <x:c r="I314" s="9" t="str">
        <x:v>min=; max=; regex=</x:v>
      </x:c>
      <x:c r="J314" s="9" t="str"/>
      <x:c r="K314" s="9" t="str">
        <x:v>行人质量0置信度，范围：0.0~1.0，限小数点后3位。</x:v>
      </x:c>
      <x:c r="L314" s="9" t="str">
        <x:v>默认/合法替代/空/非法类型；按已确认范围测min、max及相邻越界；保存回读并验证行为</x:v>
      </x:c>
      <x:c r="M314" s="9" t="str">
        <x:v>ALG-92000032</x:v>
      </x:c>
      <x:c r="N314" s="9" t="str">
        <x:v>未执行</x:v>
      </x:c>
      <x:c r="O314" s="12" t="str"/>
    </x:row>
    <x:row r="315" ht="32" customHeight="1">
      <x:c r="A315" s="4" t="str">
        <x:v>PAR-0311</x:v>
      </x:c>
      <x:c r="B315" s="4" t="str">
        <x:v>模板</x:v>
      </x:c>
      <x:c r="C315" s="4" t="str">
        <x:v>92000058</x:v>
      </x:c>
      <x:c r="D315" s="4" t="str">
        <x:v>图片未穿工服</x:v>
      </x:c>
      <x:c r="E315" s="4" t="str">
        <x:v>aiParam.pedestrian.confidence</x:v>
      </x:c>
      <x:c r="F315" s="4" t="str">
        <x:v>行人置信度</x:v>
      </x:c>
      <x:c r="G315" s="4" t="str">
        <x:v>bm1688,cv186x,x86</x:v>
      </x:c>
      <x:c r="H315" s="4" t="str">
        <x:v>0.63</x:v>
      </x:c>
      <x:c r="I315" s="4" t="str">
        <x:v>min=; max=; regex=</x:v>
      </x:c>
      <x:c r="J315" s="4" t="str"/>
      <x:c r="K315" s="4" t="str">
        <x:v>行人置信度，范围：0.0~1.0，限小数点后3位。</x:v>
      </x:c>
      <x:c r="L315" s="4" t="str">
        <x:v>默认/合法替代/空/非法类型；按已确认范围测min、max及相邻越界；保存回读并验证行为</x:v>
      </x:c>
      <x:c r="M315" s="4" t="str">
        <x:v>ALG-92000058</x:v>
      </x:c>
      <x:c r="N315" s="4" t="str">
        <x:v>未执行</x:v>
      </x:c>
      <x:c r="O315" s="12" t="str"/>
    </x:row>
    <x:row r="316" ht="32" customHeight="1">
      <x:c r="A316" s="9" t="str">
        <x:v>PAR-0312</x:v>
      </x:c>
      <x:c r="B316" s="9" t="str">
        <x:v>模板</x:v>
      </x:c>
      <x:c r="C316" s="9" t="str">
        <x:v>92000058</x:v>
      </x:c>
      <x:c r="D316" s="9" t="str">
        <x:v>图片未穿工服</x:v>
      </x:c>
      <x:c r="E316" s="9" t="str">
        <x:v>param.workClothesSet</x:v>
      </x:c>
      <x:c r="F316" s="9" t="str">
        <x:v>绑定工服分组</x:v>
      </x:c>
      <x:c r="G316" s="9" t="str">
        <x:v>bm1688,cv186x,x86</x:v>
      </x:c>
      <x:c r="H316" s="9" t="str"/>
      <x:c r="I316" s="9" t="str">
        <x:v>min=; max=; regex=</x:v>
      </x:c>
      <x:c r="J316" s="9" t="str"/>
      <x:c r="K316" s="9" t="str">
        <x:v>选择需要比对的工服分组</x:v>
      </x:c>
      <x:c r="L316" s="9" t="str">
        <x:v>默认/合法替代/空/非法类型；按已确认范围测min、max及相邻越界；保存回读并验证行为</x:v>
      </x:c>
      <x:c r="M316" s="9" t="str">
        <x:v>ALG-92000058</x:v>
      </x:c>
      <x:c r="N316" s="9" t="str">
        <x:v>未执行</x:v>
      </x:c>
      <x:c r="O316" s="12" t="str"/>
    </x:row>
    <x:row r="317" ht="40" customHeight="1">
      <x:c r="A317" s="4" t="str">
        <x:v>PAR-0313</x:v>
      </x:c>
      <x:c r="B317" s="4" t="str">
        <x:v>模板</x:v>
      </x:c>
      <x:c r="C317" s="4" t="str">
        <x:v>92000058</x:v>
      </x:c>
      <x:c r="D317" s="4" t="str">
        <x:v>图片未穿工服</x:v>
      </x:c>
      <x:c r="E317" s="4" t="str">
        <x:v>filter.pedestrian.side.min</x:v>
      </x:c>
      <x:c r="F317" s="4" t="str">
        <x:v>最小行人尺寸</x:v>
      </x:c>
      <x:c r="G317" s="4" t="str">
        <x:v>bm1688,cv186x,x86</x:v>
      </x:c>
      <x:c r="H317" s="4" t="str">
        <x:v>60</x:v>
      </x:c>
      <x:c r="I317" s="4" t="str">
        <x:v>min=; max=; regex=/^(0|[1-9]|[1-9][0-9]|[1-9][0-9][0-9]|[1-9][0-9][0-9][0-9]|10000)$/</x:v>
      </x:c>
      <x:c r="J317" s="4" t="str"/>
      <x:c r="K317" s="4" t="str">
        <x:v>最小行人尺寸：行人抓拍照片的最小图像尺寸。如输入值为100，则最小行人尺寸为100*100像素。范围：10px~1000像素 默认：100像素。</x:v>
      </x:c>
      <x:c r="L317" s="4" t="str">
        <x:v>默认/合法替代/空/非法类型；按已确认范围测min、max及相邻越界；保存回读并验证行为</x:v>
      </x:c>
      <x:c r="M317" s="4" t="str">
        <x:v>ALG-92000058</x:v>
      </x:c>
      <x:c r="N317" s="4" t="str">
        <x:v>未执行</x:v>
      </x:c>
      <x:c r="O317" s="12" t="str"/>
    </x:row>
    <x:row r="318" ht="32" customHeight="1">
      <x:c r="A318" s="9" t="str">
        <x:v>PAR-0314</x:v>
      </x:c>
      <x:c r="B318" s="9" t="str">
        <x:v>模板</x:v>
      </x:c>
      <x:c r="C318" s="9" t="str">
        <x:v>92000058</x:v>
      </x:c>
      <x:c r="D318" s="9" t="str">
        <x:v>图片未穿工服</x:v>
      </x:c>
      <x:c r="E318" s="9" t="str">
        <x:v>aiParam.quality0.confidence</x:v>
      </x:c>
      <x:c r="F318" s="9" t="str">
        <x:v>行人质量0置信度</x:v>
      </x:c>
      <x:c r="G318" s="9" t="str">
        <x:v>bm1688,cv186x,x86</x:v>
      </x:c>
      <x:c r="H318" s="9" t="str">
        <x:v>0</x:v>
      </x:c>
      <x:c r="I318" s="9" t="str">
        <x:v>min=; max=; regex=</x:v>
      </x:c>
      <x:c r="J318" s="9" t="str"/>
      <x:c r="K318" s="9" t="str">
        <x:v>行人质量0置信度，范围：0.0~1.0，限小数点后3位。</x:v>
      </x:c>
      <x:c r="L318" s="9" t="str">
        <x:v>默认/合法替代/空/非法类型；按已确认范围测min、max及相邻越界；保存回读并验证行为</x:v>
      </x:c>
      <x:c r="M318" s="9" t="str">
        <x:v>ALG-92000058</x:v>
      </x:c>
      <x:c r="N318" s="9" t="str">
        <x:v>未执行</x:v>
      </x:c>
      <x:c r="O318" s="12" t="str"/>
    </x:row>
    <x:row r="319" ht="32" customHeight="1">
      <x:c r="A319" s="4" t="str">
        <x:v>PAR-0315</x:v>
      </x:c>
      <x:c r="B319" s="4" t="str">
        <x:v>模板</x:v>
      </x:c>
      <x:c r="C319" s="4" t="str">
        <x:v>92000065</x:v>
      </x:c>
      <x:c r="D319" s="4" t="str">
        <x:v>图片睡岗检测</x:v>
      </x:c>
      <x:c r="E319" s="4" t="str">
        <x:v>aiParam.pedestrian.confidence</x:v>
      </x:c>
      <x:c r="F319" s="4" t="str">
        <x:v>行人置信度</x:v>
      </x:c>
      <x:c r="G319" s="4" t="str">
        <x:v>bm1688,cv186x,x86</x:v>
      </x:c>
      <x:c r="H319" s="4" t="str">
        <x:v>0.63</x:v>
      </x:c>
      <x:c r="I319" s="4" t="str">
        <x:v>min=; max=; regex=</x:v>
      </x:c>
      <x:c r="J319" s="4" t="str"/>
      <x:c r="K319" s="4" t="str">
        <x:v>行人置信度，范围：0.0~1.0，限小数点后3位。</x:v>
      </x:c>
      <x:c r="L319" s="4" t="str">
        <x:v>默认/合法替代/空/非法类型；按已确认范围测min、max及相邻越界；保存回读并验证行为</x:v>
      </x:c>
      <x:c r="M319" s="4" t="str">
        <x:v>ALG-92000065</x:v>
      </x:c>
      <x:c r="N319" s="4" t="str">
        <x:v>未执行</x:v>
      </x:c>
      <x:c r="O319" s="12" t="str"/>
    </x:row>
    <x:row r="320" ht="32" customHeight="1">
      <x:c r="A320" s="9" t="str">
        <x:v>PAR-0316</x:v>
      </x:c>
      <x:c r="B320" s="9" t="str">
        <x:v>模板</x:v>
      </x:c>
      <x:c r="C320" s="9" t="str">
        <x:v>92000065</x:v>
      </x:c>
      <x:c r="D320" s="9" t="str">
        <x:v>图片睡岗检测</x:v>
      </x:c>
      <x:c r="E320" s="9" t="str">
        <x:v>aiParam.pedSleepStomach.confidence</x:v>
      </x:c>
      <x:c r="F320" s="9" t="str">
        <x:v>行人睡姿-趴睡置信度</x:v>
      </x:c>
      <x:c r="G320" s="9" t="str">
        <x:v>bm1688,cv186x,x86</x:v>
      </x:c>
      <x:c r="H320" s="9" t="str">
        <x:v>0.954</x:v>
      </x:c>
      <x:c r="I320" s="9" t="str">
        <x:v>min=; max=; regex=</x:v>
      </x:c>
      <x:c r="J320" s="9" t="str"/>
      <x:c r="K320" s="9" t="str">
        <x:v>行人睡姿-趴睡置信度，范围：0.0~1.0，限小数点后3位。</x:v>
      </x:c>
      <x:c r="L320" s="9" t="str">
        <x:v>默认/合法替代/空/非法类型；按已确认范围测min、max及相邻越界；保存回读并验证行为</x:v>
      </x:c>
      <x:c r="M320" s="9" t="str">
        <x:v>ALG-92000065</x:v>
      </x:c>
      <x:c r="N320" s="9" t="str">
        <x:v>未执行</x:v>
      </x:c>
      <x:c r="O320" s="12" t="str"/>
    </x:row>
    <x:row r="321" ht="32" customHeight="1">
      <x:c r="A321" s="4" t="str">
        <x:v>PAR-0317</x:v>
      </x:c>
      <x:c r="B321" s="4" t="str">
        <x:v>模板</x:v>
      </x:c>
      <x:c r="C321" s="4" t="str">
        <x:v>92000065</x:v>
      </x:c>
      <x:c r="D321" s="4" t="str">
        <x:v>图片睡岗检测</x:v>
      </x:c>
      <x:c r="E321" s="4" t="str">
        <x:v>aiParam.pedSleepLieDown.confidence</x:v>
      </x:c>
      <x:c r="F321" s="4" t="str">
        <x:v>行人睡姿-躺着睡置信度</x:v>
      </x:c>
      <x:c r="G321" s="4" t="str">
        <x:v>bm1688,cv186x,x86</x:v>
      </x:c>
      <x:c r="H321" s="4" t="str">
        <x:v>0.98</x:v>
      </x:c>
      <x:c r="I321" s="4" t="str">
        <x:v>min=; max=; regex=</x:v>
      </x:c>
      <x:c r="J321" s="4" t="str"/>
      <x:c r="K321" s="4" t="str">
        <x:v>行人睡姿-躺着睡置信度，范围：0.0~1.0，限小数点后3位。</x:v>
      </x:c>
      <x:c r="L321" s="4" t="str">
        <x:v>默认/合法替代/空/非法类型；按已确认范围测min、max及相邻越界；保存回读并验证行为</x:v>
      </x:c>
      <x:c r="M321" s="4" t="str">
        <x:v>ALG-92000065</x:v>
      </x:c>
      <x:c r="N321" s="4" t="str">
        <x:v>未执行</x:v>
      </x:c>
      <x:c r="O321" s="12" t="str"/>
    </x:row>
    <x:row r="322" ht="40" customHeight="1">
      <x:c r="A322" s="9" t="str">
        <x:v>PAR-0318</x:v>
      </x:c>
      <x:c r="B322" s="9" t="str">
        <x:v>模板</x:v>
      </x:c>
      <x:c r="C322" s="9" t="str">
        <x:v>92000065</x:v>
      </x:c>
      <x:c r="D322" s="9" t="str">
        <x:v>图片睡岗检测</x:v>
      </x:c>
      <x:c r="E322" s="9" t="str">
        <x:v>filter.pedestrian.side.min</x:v>
      </x:c>
      <x:c r="F322" s="9" t="str">
        <x:v>最小行人尺寸</x:v>
      </x:c>
      <x:c r="G322" s="9" t="str">
        <x:v>bm1688,cv186x,x86</x:v>
      </x:c>
      <x:c r="H322" s="9" t="str">
        <x:v>60</x:v>
      </x:c>
      <x:c r="I322" s="9" t="str">
        <x:v>min=; max=; regex=/^(0|[1-9]|[1-9][0-9]|[1-9][0-9][0-9]|[1-9][0-9][0-9][0-9]|10000)$/</x:v>
      </x:c>
      <x:c r="J322" s="9" t="str"/>
      <x:c r="K322" s="9" t="str">
        <x:v>最小行人尺寸：行人抓拍照片的最小图像尺寸。如输入值为100，则最小行人尺寸为100*100像素。范围：10px~1000像素 默认：100像素。</x:v>
      </x:c>
      <x:c r="L322" s="9" t="str">
        <x:v>默认/合法替代/空/非法类型；按已确认范围测min、max及相邻越界；保存回读并验证行为</x:v>
      </x:c>
      <x:c r="M322" s="9" t="str">
        <x:v>ALG-92000065</x:v>
      </x:c>
      <x:c r="N322" s="9" t="str">
        <x:v>未执行</x:v>
      </x:c>
      <x:c r="O322" s="12" t="str"/>
    </x:row>
    <x:row r="323" ht="32" customHeight="1">
      <x:c r="A323" s="4" t="str">
        <x:v>PAR-0319</x:v>
      </x:c>
      <x:c r="B323" s="4" t="str">
        <x:v>模板</x:v>
      </x:c>
      <x:c r="C323" s="4" t="str">
        <x:v>93000002</x:v>
      </x:c>
      <x:c r="D323" s="4" t="str">
        <x:v>双图人脸比对</x:v>
      </x:c>
      <x:c r="E323" s="4" t="str">
        <x:v>aiParam.face.confidence</x:v>
      </x:c>
      <x:c r="F323" s="4" t="str">
        <x:v>face置信度</x:v>
      </x:c>
      <x:c r="G323" s="4" t="str">
        <x:v>bm1688,cv186x,x86</x:v>
      </x:c>
      <x:c r="H323" s="4" t="str">
        <x:v>0.6600000262260437</x:v>
      </x:c>
      <x:c r="I323" s="4" t="str">
        <x:v>min=; max=; regex=</x:v>
      </x:c>
      <x:c r="J323" s="4" t="str"/>
      <x:c r="K323" s="4" t="str">
        <x:v>face置信度，范围：0.0~1.0，限小数点后3位。</x:v>
      </x:c>
      <x:c r="L323" s="4" t="str">
        <x:v>默认/合法替代/空/非法类型；按已确认范围测min、max及相邻越界；保存回读并验证行为</x:v>
      </x:c>
      <x:c r="M323" s="4" t="str">
        <x:v>ALG-93000002</x:v>
      </x:c>
      <x:c r="N323" s="4" t="str">
        <x:v>未执行</x:v>
      </x:c>
      <x:c r="O323" s="12" t="str"/>
    </x:row>
    <x:row r="324" ht="32" customHeight="1">
      <x:c r="A324" s="9" t="str">
        <x:v>PAR-0320</x:v>
      </x:c>
      <x:c r="B324" s="9" t="str">
        <x:v>模板</x:v>
      </x:c>
      <x:c r="C324" s="9" t="str">
        <x:v>93000002</x:v>
      </x:c>
      <x:c r="D324" s="9" t="str">
        <x:v>双图人脸比对</x:v>
      </x:c>
      <x:c r="E324" s="9" t="str">
        <x:v>aiParam.slantedFace.confidence</x:v>
      </x:c>
      <x:c r="F324" s="9" t="str">
        <x:v>slantedFace置信度</x:v>
      </x:c>
      <x:c r="G324" s="9" t="str">
        <x:v>bm1688,cv186x,x86</x:v>
      </x:c>
      <x:c r="H324" s="9" t="str">
        <x:v>0</x:v>
      </x:c>
      <x:c r="I324" s="9" t="str">
        <x:v>min=; max=; regex=</x:v>
      </x:c>
      <x:c r="J324" s="9" t="str"/>
      <x:c r="K324" s="9" t="str">
        <x:v>slantedFace置信度，范围：0.0~1.0，限小数点后3位。</x:v>
      </x:c>
      <x:c r="L324" s="9" t="str">
        <x:v>默认/合法替代/空/非法类型；按已确认范围测min、max及相邻越界；保存回读并验证行为</x:v>
      </x:c>
      <x:c r="M324" s="9" t="str">
        <x:v>ALG-93000002</x:v>
      </x:c>
      <x:c r="N324" s="9" t="str">
        <x:v>未执行</x:v>
      </x:c>
      <x:c r="O324" s="12" t="str"/>
    </x:row>
    <x:row r="325" ht="32" customHeight="1">
      <x:c r="A325" s="4" t="str">
        <x:v>PAR-0321</x:v>
      </x:c>
      <x:c r="B325" s="4" t="str">
        <x:v>模板</x:v>
      </x:c>
      <x:c r="C325" s="4" t="str">
        <x:v>93000002</x:v>
      </x:c>
      <x:c r="D325" s="4" t="str">
        <x:v>双图人脸比对</x:v>
      </x:c>
      <x:c r="E325" s="4" t="str">
        <x:v>aiParam.frontFace.confidence</x:v>
      </x:c>
      <x:c r="F325" s="4" t="str">
        <x:v>frontFace置信度</x:v>
      </x:c>
      <x:c r="G325" s="4" t="str">
        <x:v>bm1688,cv186x,x86</x:v>
      </x:c>
      <x:c r="H325" s="4" t="str">
        <x:v>0</x:v>
      </x:c>
      <x:c r="I325" s="4" t="str">
        <x:v>min=; max=; regex=</x:v>
      </x:c>
      <x:c r="J325" s="4" t="str"/>
      <x:c r="K325" s="4" t="str">
        <x:v>frontFace置信度，范围：0.0~1.0，限小数点后3位。</x:v>
      </x:c>
      <x:c r="L325" s="4" t="str">
        <x:v>默认/合法替代/空/非法类型；按已确认范围测min、max及相邻越界；保存回读并验证行为</x:v>
      </x:c>
      <x:c r="M325" s="4" t="str">
        <x:v>ALG-93000002</x:v>
      </x:c>
      <x:c r="N325" s="4" t="str">
        <x:v>未执行</x:v>
      </x:c>
      <x:c r="O325" s="12" t="str"/>
    </x:row>
    <x:row r="326" ht="32" customHeight="1">
      <x:c r="A326" s="9" t="str">
        <x:v>PAR-0322</x:v>
      </x:c>
      <x:c r="B326" s="9" t="str">
        <x:v>模板</x:v>
      </x:c>
      <x:c r="C326" s="9" t="str">
        <x:v>93000002</x:v>
      </x:c>
      <x:c r="D326" s="9" t="str">
        <x:v>双图人脸比对</x:v>
      </x:c>
      <x:c r="E326" s="9" t="str">
        <x:v>aiParam.fullFace.confidence</x:v>
      </x:c>
      <x:c r="F326" s="9" t="str">
        <x:v>fullFace置信度</x:v>
      </x:c>
      <x:c r="G326" s="9" t="str">
        <x:v>bm1688,cv186x,x86</x:v>
      </x:c>
      <x:c r="H326" s="9" t="str">
        <x:v>0</x:v>
      </x:c>
      <x:c r="I326" s="9" t="str">
        <x:v>min=; max=; regex=</x:v>
      </x:c>
      <x:c r="J326" s="9" t="str"/>
      <x:c r="K326" s="9" t="str">
        <x:v>fullFace置信度，范围：0.0~1.0，限小数点后3位。</x:v>
      </x:c>
      <x:c r="L326" s="9" t="str">
        <x:v>默认/合法替代/空/非法类型；按已确认范围测min、max及相邻越界；保存回读并验证行为</x:v>
      </x:c>
      <x:c r="M326" s="9" t="str">
        <x:v>ALG-93000002</x:v>
      </x:c>
      <x:c r="N326" s="9" t="str">
        <x:v>未执行</x:v>
      </x:c>
      <x:c r="O326" s="12" t="str"/>
    </x:row>
    <x:row r="327" ht="32" customHeight="1">
      <x:c r="A327" s="4" t="str">
        <x:v>PAR-0323</x:v>
      </x:c>
      <x:c r="B327" s="4" t="str">
        <x:v>模板</x:v>
      </x:c>
      <x:c r="C327" s="4" t="str">
        <x:v>93000002</x:v>
      </x:c>
      <x:c r="D327" s="4" t="str">
        <x:v>双图人脸比对</x:v>
      </x:c>
      <x:c r="E327" s="4" t="str">
        <x:v>aiParam.faceBlur0.confidence</x:v>
      </x:c>
      <x:c r="F327" s="4" t="str">
        <x:v>faceBlur0置信度</x:v>
      </x:c>
      <x:c r="G327" s="4" t="str">
        <x:v>bm1688,cv186x,x86</x:v>
      </x:c>
      <x:c r="H327" s="4" t="str">
        <x:v>0</x:v>
      </x:c>
      <x:c r="I327" s="4" t="str">
        <x:v>min=; max=; regex=</x:v>
      </x:c>
      <x:c r="J327" s="4" t="str"/>
      <x:c r="K327" s="4" t="str">
        <x:v>faceBlur0置信度，范围：0.0~1.0，限小数点后3位。</x:v>
      </x:c>
      <x:c r="L327" s="4" t="str">
        <x:v>默认/合法替代/空/非法类型；按已确认范围测min、max及相邻越界；保存回读并验证行为</x:v>
      </x:c>
      <x:c r="M327" s="4" t="str">
        <x:v>ALG-93000002</x:v>
      </x:c>
      <x:c r="N327" s="4" t="str">
        <x:v>未执行</x:v>
      </x:c>
      <x:c r="O327" s="12" t="str"/>
    </x:row>
    <x:row r="328" ht="32" customHeight="1">
      <x:c r="A328" s="9" t="str">
        <x:v>PAR-0324</x:v>
      </x:c>
      <x:c r="B328" s="9" t="str">
        <x:v>模板</x:v>
      </x:c>
      <x:c r="C328" s="9" t="str">
        <x:v>93000002</x:v>
      </x:c>
      <x:c r="D328" s="9" t="str">
        <x:v>双图人脸比对</x:v>
      </x:c>
      <x:c r="E328" s="9" t="str">
        <x:v>aiParam.faceBlur1.confidence</x:v>
      </x:c>
      <x:c r="F328" s="9" t="str">
        <x:v>faceBlur1置信度</x:v>
      </x:c>
      <x:c r="G328" s="9" t="str">
        <x:v>bm1688,cv186x,x86</x:v>
      </x:c>
      <x:c r="H328" s="9" t="str">
        <x:v>0</x:v>
      </x:c>
      <x:c r="I328" s="9" t="str">
        <x:v>min=; max=; regex=</x:v>
      </x:c>
      <x:c r="J328" s="9" t="str"/>
      <x:c r="K328" s="9" t="str">
        <x:v>faceBlur1置信度，范围：0.0~1.0，限小数点后3位。</x:v>
      </x:c>
      <x:c r="L328" s="9" t="str">
        <x:v>默认/合法替代/空/非法类型；按已确认范围测min、max及相邻越界；保存回读并验证行为</x:v>
      </x:c>
      <x:c r="M328" s="9" t="str">
        <x:v>ALG-93000002</x:v>
      </x:c>
      <x:c r="N328" s="9" t="str">
        <x:v>未执行</x:v>
      </x:c>
      <x:c r="O328" s="12" t="str"/>
    </x:row>
    <x:row r="329" ht="32" customHeight="1">
      <x:c r="A329" s="4" t="str">
        <x:v>PAR-0325</x:v>
      </x:c>
      <x:c r="B329" s="4" t="str">
        <x:v>模板</x:v>
      </x:c>
      <x:c r="C329" s="4" t="str">
        <x:v>93000002</x:v>
      </x:c>
      <x:c r="D329" s="4" t="str">
        <x:v>双图人脸比对</x:v>
      </x:c>
      <x:c r="E329" s="4" t="str">
        <x:v>aiParam.faceBlur2.confidence</x:v>
      </x:c>
      <x:c r="F329" s="4" t="str">
        <x:v>faceBlur2置信度</x:v>
      </x:c>
      <x:c r="G329" s="4" t="str">
        <x:v>bm1688,cv186x,x86</x:v>
      </x:c>
      <x:c r="H329" s="4" t="str">
        <x:v>0</x:v>
      </x:c>
      <x:c r="I329" s="4" t="str">
        <x:v>min=; max=; regex=</x:v>
      </x:c>
      <x:c r="J329" s="4" t="str"/>
      <x:c r="K329" s="4" t="str">
        <x:v>faceBlur2置信度，范围：0.0~1.0，限小数点后3位。</x:v>
      </x:c>
      <x:c r="L329" s="4" t="str">
        <x:v>默认/合法替代/空/非法类型；按已确认范围测min、max及相邻越界；保存回读并验证行为</x:v>
      </x:c>
      <x:c r="M329" s="4" t="str">
        <x:v>ALG-93000002</x:v>
      </x:c>
      <x:c r="N329" s="4" t="str">
        <x:v>未执行</x:v>
      </x:c>
      <x:c r="O329" s="12" t="str"/>
    </x:row>
    <x:row r="330" ht="40" customHeight="1">
      <x:c r="A330" s="9" t="str">
        <x:v>PAR-0326</x:v>
      </x:c>
      <x:c r="B330" s="9" t="str">
        <x:v>模板</x:v>
      </x:c>
      <x:c r="C330" s="9" t="str">
        <x:v>93000002</x:v>
      </x:c>
      <x:c r="D330" s="9" t="str">
        <x:v>双图人脸比对</x:v>
      </x:c>
      <x:c r="E330" s="9" t="str">
        <x:v>filter.face.side.min</x:v>
      </x:c>
      <x:c r="F330" s="9" t="str">
        <x:v>最小face尺寸</x:v>
      </x:c>
      <x:c r="G330" s="9" t="str">
        <x:v>bm1688,cv186x,x86</x:v>
      </x:c>
      <x:c r="H330" s="9" t="str">
        <x:v>60</x:v>
      </x:c>
      <x:c r="I330" s="9" t="str">
        <x:v>min=; max=; regex=/^(0|[1-9]|[1-9][0-9]|[1-9][0-9][0-9]|[1-9][0-9][0-9][0-9]|10000)$/</x:v>
      </x:c>
      <x:c r="J330" s="9" t="str"/>
      <x:c r="K330" s="9" t="str">
        <x:v>最小face尺寸：face抓拍照片的最小图像尺寸。如输入值为100，则最小face尺寸为100*100像素。范围：10px~1000像素 默认：100像素。</x:v>
      </x:c>
      <x:c r="L330" s="9" t="str">
        <x:v>默认/合法替代/空/非法类型；按已确认范围测min、max及相邻越界；保存回读并验证行为</x:v>
      </x:c>
      <x:c r="M330" s="9" t="str">
        <x:v>ALG-93000002</x:v>
      </x:c>
      <x:c r="N330" s="9" t="str">
        <x:v>未执行</x:v>
      </x:c>
      <x:c r="O330" s="12" t="str"/>
    </x:row>
    <x:row r="331" ht="32" customHeight="1">
      <x:c r="A331" s="4" t="str">
        <x:v>PAR-0327</x:v>
      </x:c>
      <x:c r="B331" s="4" t="str">
        <x:v>模板</x:v>
      </x:c>
      <x:c r="C331" s="4" t="str">
        <x:v>93000002</x:v>
      </x:c>
      <x:c r="D331" s="4" t="str">
        <x:v>双图人脸比对</x:v>
      </x:c>
      <x:c r="E331" s="4" t="str">
        <x:v>pair.threshold</x:v>
      </x:c>
      <x:c r="F331" s="4" t="str">
        <x:v>比对阈值（0–100，留空仅返回分数）</x:v>
      </x:c>
      <x:c r="G331" s="4" t="str">
        <x:v>bm1688,cv186x,x86</x:v>
      </x:c>
      <x:c r="H331" s="4" t="str"/>
      <x:c r="I331" s="4" t="str">
        <x:v>min=; max=; regex=</x:v>
      </x:c>
      <x:c r="J331" s="4" t="str"/>
      <x:c r="K331" s="4" t="str"/>
      <x:c r="L331" s="4" t="str">
        <x:v>默认/合法替代/空/非法类型；按已确认范围测min、max及相邻越界；保存回读并验证行为</x:v>
      </x:c>
      <x:c r="M331" s="4" t="str">
        <x:v>ALG-93000002</x:v>
      </x:c>
      <x:c r="N331" s="4" t="str">
        <x:v>未执行</x:v>
      </x:c>
      <x:c r="O331" s="12" t="str"/>
    </x:row>
    <x:row r="332" ht="32" customHeight="1">
      <x:c r="A332" s="9" t="str">
        <x:v>PAR-0328</x:v>
      </x:c>
      <x:c r="B332" s="9" t="str">
        <x:v>模板</x:v>
      </x:c>
      <x:c r="C332" s="9" t="str">
        <x:v>93000058</x:v>
      </x:c>
      <x:c r="D332" s="9" t="str">
        <x:v>双图工服比对</x:v>
      </x:c>
      <x:c r="E332" s="9" t="str">
        <x:v>aiParam.pedestrian.confidence</x:v>
      </x:c>
      <x:c r="F332" s="9" t="str">
        <x:v>行人置信度</x:v>
      </x:c>
      <x:c r="G332" s="9" t="str">
        <x:v>bm1688,cv186x,x86</x:v>
      </x:c>
      <x:c r="H332" s="9" t="str">
        <x:v>0.63</x:v>
      </x:c>
      <x:c r="I332" s="9" t="str">
        <x:v>min=; max=; regex=</x:v>
      </x:c>
      <x:c r="J332" s="9" t="str"/>
      <x:c r="K332" s="9" t="str">
        <x:v>行人置信度，范围：0.0~1.0，限小数点后3位。</x:v>
      </x:c>
      <x:c r="L332" s="9" t="str">
        <x:v>默认/合法替代/空/非法类型；按已确认范围测min、max及相邻越界；保存回读并验证行为</x:v>
      </x:c>
      <x:c r="M332" s="9" t="str">
        <x:v>ALG-93000058</x:v>
      </x:c>
      <x:c r="N332" s="9" t="str">
        <x:v>未执行</x:v>
      </x:c>
      <x:c r="O332" s="12" t="str"/>
    </x:row>
    <x:row r="333" ht="40" customHeight="1">
      <x:c r="A333" s="4" t="str">
        <x:v>PAR-0329</x:v>
      </x:c>
      <x:c r="B333" s="4" t="str">
        <x:v>模板</x:v>
      </x:c>
      <x:c r="C333" s="4" t="str">
        <x:v>93000058</x:v>
      </x:c>
      <x:c r="D333" s="4" t="str">
        <x:v>双图工服比对</x:v>
      </x:c>
      <x:c r="E333" s="4" t="str">
        <x:v>filter.pedestrian.side.min</x:v>
      </x:c>
      <x:c r="F333" s="4" t="str">
        <x:v>最小行人尺寸</x:v>
      </x:c>
      <x:c r="G333" s="4" t="str">
        <x:v>bm1688,cv186x,x86</x:v>
      </x:c>
      <x:c r="H333" s="4" t="str">
        <x:v>60</x:v>
      </x:c>
      <x:c r="I333" s="4" t="str">
        <x:v>min=; max=; regex=/^(0|[1-9]|[1-9][0-9]|[1-9][0-9][0-9]|[1-9][0-9][0-9][0-9]|10000)$/</x:v>
      </x:c>
      <x:c r="J333" s="4" t="str"/>
      <x:c r="K333" s="4" t="str">
        <x:v>最小行人尺寸：行人抓拍照片的最小图像尺寸。如输入值为100，则最小行人尺寸为100*100像素。范围：10px~1000像素 默认：100像素。</x:v>
      </x:c>
      <x:c r="L333" s="4" t="str">
        <x:v>默认/合法替代/空/非法类型；按已确认范围测min、max及相邻越界；保存回读并验证行为</x:v>
      </x:c>
      <x:c r="M333" s="4" t="str">
        <x:v>ALG-93000058</x:v>
      </x:c>
      <x:c r="N333" s="4" t="str">
        <x:v>未执行</x:v>
      </x:c>
      <x:c r="O333" s="12" t="str"/>
    </x:row>
    <x:row r="334" ht="32" customHeight="1">
      <x:c r="A334" s="9" t="str">
        <x:v>PAR-0330</x:v>
      </x:c>
      <x:c r="B334" s="9" t="str">
        <x:v>模板</x:v>
      </x:c>
      <x:c r="C334" s="9" t="str">
        <x:v>93000058</x:v>
      </x:c>
      <x:c r="D334" s="9" t="str">
        <x:v>双图工服比对</x:v>
      </x:c>
      <x:c r="E334" s="9" t="str">
        <x:v>aiParam.quality0.confidence</x:v>
      </x:c>
      <x:c r="F334" s="9" t="str">
        <x:v>行人质量0置信度</x:v>
      </x:c>
      <x:c r="G334" s="9" t="str">
        <x:v>bm1688,cv186x,x86</x:v>
      </x:c>
      <x:c r="H334" s="9" t="str">
        <x:v>0</x:v>
      </x:c>
      <x:c r="I334" s="9" t="str">
        <x:v>min=; max=; regex=</x:v>
      </x:c>
      <x:c r="J334" s="9" t="str"/>
      <x:c r="K334" s="9" t="str">
        <x:v>行人质量0置信度，范围：0.0~1.0，限小数点后3位。</x:v>
      </x:c>
      <x:c r="L334" s="9" t="str">
        <x:v>默认/合法替代/空/非法类型；按已确认范围测min、max及相邻越界；保存回读并验证行为</x:v>
      </x:c>
      <x:c r="M334" s="9" t="str">
        <x:v>ALG-93000058</x:v>
      </x:c>
      <x:c r="N334" s="9" t="str">
        <x:v>未执行</x:v>
      </x:c>
      <x:c r="O334" s="12" t="str"/>
    </x:row>
    <x:row r="335" ht="32" customHeight="1">
      <x:c r="A335" s="4" t="str">
        <x:v>PAR-0331</x:v>
      </x:c>
      <x:c r="B335" s="4" t="str">
        <x:v>模板</x:v>
      </x:c>
      <x:c r="C335" s="4" t="str">
        <x:v>93000058</x:v>
      </x:c>
      <x:c r="D335" s="4" t="str">
        <x:v>双图工服比对</x:v>
      </x:c>
      <x:c r="E335" s="4" t="str">
        <x:v>pair.threshold</x:v>
      </x:c>
      <x:c r="F335" s="4" t="str">
        <x:v>比对阈值（0–100，留空仅返回分数）</x:v>
      </x:c>
      <x:c r="G335" s="4" t="str">
        <x:v>bm1688,cv186x,x86</x:v>
      </x:c>
      <x:c r="H335" s="4" t="str"/>
      <x:c r="I335" s="4" t="str">
        <x:v>min=; max=; regex=</x:v>
      </x:c>
      <x:c r="J335" s="4" t="str"/>
      <x:c r="K335" s="4" t="str"/>
      <x:c r="L335" s="4" t="str">
        <x:v>默认/合法替代/空/非法类型；按已确认范围测min、max及相邻越界；保存回读并验证行为</x:v>
      </x:c>
      <x:c r="M335" s="4" t="str">
        <x:v>ALG-93000058</x:v>
      </x:c>
      <x:c r="N335" s="4" t="str">
        <x:v>未执行</x:v>
      </x:c>
      <x:c r="O335" s="12" t="str"/>
    </x:row>
    <x:row r="336" ht="32" customHeight="1">
      <x:c r="A336" s="9" t="str">
        <x:v>PAR-0332</x:v>
      </x:c>
      <x:c r="B336" s="9" t="str">
        <x:v>模板</x:v>
      </x:c>
      <x:c r="C336" s="9" t="str">
        <x:v>9</x:v>
      </x:c>
      <x:c r="D336" s="9" t="str">
        <x:v>烟雾检测</x:v>
      </x:c>
      <x:c r="E336" s="9" t="str">
        <x:v>aiParam.smog.confidence</x:v>
      </x:c>
      <x:c r="F336" s="9" t="str">
        <x:v>烟雾置信度</x:v>
      </x:c>
      <x:c r="G336" s="9" t="str">
        <x:v>bm1688,cv186x,x86</x:v>
      </x:c>
      <x:c r="H336" s="9" t="str"/>
      <x:c r="I336" s="9" t="str">
        <x:v>min=; max=; regex=</x:v>
      </x:c>
      <x:c r="J336" s="9" t="str"/>
      <x:c r="K336" s="9" t="str">
        <x:v>烟雾置信度，范围：0.0~1.0，限小数点后3位。</x:v>
      </x:c>
      <x:c r="L336" s="9" t="str">
        <x:v>默认/合法替代/空/非法类型；按已确认范围测min、max及相邻越界；保存回读并验证行为</x:v>
      </x:c>
      <x:c r="M336" s="9" t="str">
        <x:v>ALG-9</x:v>
      </x:c>
      <x:c r="N336" s="9" t="str">
        <x:v>未执行</x:v>
      </x:c>
      <x:c r="O336" s="12" t="str"/>
    </x:row>
    <x:row r="337" ht="32" customHeight="1">
      <x:c r="A337" s="4" t="str">
        <x:v>PAR-0333</x:v>
      </x:c>
      <x:c r="B337" s="4" t="str">
        <x:v>模板</x:v>
      </x:c>
      <x:c r="C337" s="4" t="str">
        <x:v>9</x:v>
      </x:c>
      <x:c r="D337" s="4" t="str">
        <x:v>烟雾检测</x:v>
      </x:c>
      <x:c r="E337" s="4" t="str">
        <x:v>aiParam.smog.confidenceConfig</x:v>
      </x:c>
      <x:c r="F337" s="4" t="str">
        <x:v>烟雾置信度偏移</x:v>
      </x:c>
      <x:c r="G337" s="4" t="str">
        <x:v>bm1688,cv186x,x86</x:v>
      </x:c>
      <x:c r="H337" s="4" t="str">
        <x:v>0,0</x:v>
      </x:c>
      <x:c r="I337" s="4" t="str">
        <x:v>min=; max=; regex=</x:v>
      </x:c>
      <x:c r="J337" s="4" t="str"/>
      <x:c r="K337" s="4" t="str">
        <x:v>烟雾置信度偏移，默认为严格阈值。可选严格阈值、推荐阈值。</x:v>
      </x:c>
      <x:c r="L337" s="4" t="str">
        <x:v>默认/合法替代/空/非法类型；按已确认范围测min、max及相邻越界；保存回读并验证行为</x:v>
      </x:c>
      <x:c r="M337" s="4" t="str">
        <x:v>ALG-9</x:v>
      </x:c>
      <x:c r="N337" s="4" t="str">
        <x:v>未执行</x:v>
      </x:c>
      <x:c r="O337" s="12" t="str"/>
    </x:row>
    <x:row r="338" ht="32" customHeight="1">
      <x:c r="A338" s="9" t="str">
        <x:v>PAR-0334</x:v>
      </x:c>
      <x:c r="B338" s="9" t="str">
        <x:v>模板</x:v>
      </x:c>
      <x:c r="C338" s="9" t="str">
        <x:v>9</x:v>
      </x:c>
      <x:c r="D338" s="9" t="str">
        <x:v>烟雾检测</x:v>
      </x:c>
      <x:c r="E338" s="9" t="str">
        <x:v>aiParam.smog.detPostion</x:v>
      </x:c>
      <x:c r="F338" s="9" t="str">
        <x:v>烟雾检测方式</x:v>
      </x:c>
      <x:c r="G338" s="9" t="str">
        <x:v>bm1688,cv186x,x86</x:v>
      </x:c>
      <x:c r="H338" s="9" t="str">
        <x:v>1</x:v>
      </x:c>
      <x:c r="I338" s="9" t="str">
        <x:v>枚举：0,1,2</x:v>
      </x:c>
      <x:c r="J338" s="9" t="str"/>
      <x:c r="K338" s="9" t="str">
        <x:v>检测方式：定义检测框中心点的位置。默认在底部。可选顶部、底部、中心。</x:v>
      </x:c>
      <x:c r="L338" s="9" t="str">
        <x:v>依次选每个枚举；非法值；保存刷新；触发依赖字段</x:v>
      </x:c>
      <x:c r="M338" s="9" t="str">
        <x:v>ALG-9</x:v>
      </x:c>
      <x:c r="N338" s="9" t="str">
        <x:v>未执行</x:v>
      </x:c>
      <x:c r="O338" s="12" t="str"/>
    </x:row>
    <x:row r="339" ht="40" customHeight="1">
      <x:c r="A339" s="4" t="str">
        <x:v>PAR-0335</x:v>
      </x:c>
      <x:c r="B339" s="4" t="str">
        <x:v>模板</x:v>
      </x:c>
      <x:c r="C339" s="4" t="str">
        <x:v>9</x:v>
      </x:c>
      <x:c r="D339" s="4" t="str">
        <x:v>烟雾检测</x:v>
      </x:c>
      <x:c r="E339" s="4" t="str">
        <x:v>filter.smog.side.min</x:v>
      </x:c>
      <x:c r="F339" s="4" t="str">
        <x:v>最小烟雾尺寸</x:v>
      </x:c>
      <x:c r="G339" s="4" t="str">
        <x:v>bm1688,cv186x,x86</x:v>
      </x:c>
      <x:c r="H339" s="4" t="str">
        <x:v>60</x:v>
      </x:c>
      <x:c r="I339" s="4" t="str">
        <x:v>min=; max=; regex=/^(0|[1-9]|[1-9][0-9]|[1-9][0-9][0-9]|[1-9][0-9][0-9][0-9]|10000)$/</x:v>
      </x:c>
      <x:c r="J339" s="4" t="str"/>
      <x:c r="K339" s="4" t="str">
        <x:v>最小烟雾尺寸：烟雾抓拍照片的最小图像尺寸。如输入值为100，则最小烟雾尺寸为100*100像素。范围：10px~1000像素 默认：100像素。</x:v>
      </x:c>
      <x:c r="L339" s="4" t="str">
        <x:v>默认/合法替代/空/非法类型；按已确认范围测min、max及相邻越界；保存回读并验证行为</x:v>
      </x:c>
      <x:c r="M339" s="4" t="str">
        <x:v>ALG-9</x:v>
      </x:c>
      <x:c r="N339" s="4" t="str">
        <x:v>未执行</x:v>
      </x:c>
      <x:c r="O339" s="12" t="str"/>
    </x:row>
    <x:row r="340" ht="40" customHeight="1">
      <x:c r="A340" s="9" t="str">
        <x:v>PAR-0336</x:v>
      </x:c>
      <x:c r="B340" s="9" t="str">
        <x:v>模板</x:v>
      </x:c>
      <x:c r="C340" s="9" t="str">
        <x:v>9</x:v>
      </x:c>
      <x:c r="D340" s="9" t="str">
        <x:v>烟雾检测</x:v>
      </x:c>
      <x:c r="E340" s="9" t="str">
        <x:v>param.alarmInterval</x:v>
      </x:c>
      <x:c r="F340" s="9" t="str">
        <x:v>告警时间间隔（秒）</x:v>
      </x:c>
      <x:c r="G340" s="9" t="str">
        <x:v>bm1688,cv186x,x86</x:v>
      </x:c>
      <x:c r="H340" s="9" t="str">
        <x:v>60</x:v>
      </x:c>
      <x:c r="I340" s="9" t="str">
        <x:v>min=; max=; regex=/^([1-9]|[1-9][0-9]|[1-9][0-9][0-9]|[1-9][0-9][0-9][0-9]|[1-2][0-9][0-9][0-9][0-9]|[3][0-5][0-9][0-9][0-9]|36000)$/</x:v>
      </x:c>
      <x:c r="J340" s="9" t="str"/>
      <x:c r="K340" s="9" t="str">
        <x:v>告警时间间隔：2次告警事件的间隔。范围：1~36000秒，默认：60秒。</x:v>
      </x:c>
      <x:c r="L340" s="9" t="str">
        <x:v>默认/合法替代/空/非法类型；按已确认范围测min、max及相邻越界；保存回读并验证行为</x:v>
      </x:c>
      <x:c r="M340" s="9" t="str">
        <x:v>ALG-9</x:v>
      </x:c>
      <x:c r="N340" s="9" t="str">
        <x:v>未执行</x:v>
      </x:c>
      <x:c r="O340" s="12" t="str"/>
    </x:row>
    <x:row r="341" ht="40" customHeight="1">
      <x:c r="A341" s="4" t="str">
        <x:v>PAR-0337</x:v>
      </x:c>
      <x:c r="B341" s="4" t="str">
        <x:v>模板</x:v>
      </x:c>
      <x:c r="C341" s="4" t="str">
        <x:v>9</x:v>
      </x:c>
      <x:c r="D341" s="4" t="str">
        <x:v>烟雾检测</x:v>
      </x:c>
      <x:c r="E341" s="4" t="str">
        <x:v>param.restrainSwitch</x:v>
      </x:c>
      <x:c r="F341" s="4" t="str">
        <x:v>静止目标去重</x:v>
      </x:c>
      <x:c r="G341" s="4" t="str">
        <x:v>bm1688,cv186x,x86</x:v>
      </x:c>
      <x:c r="H341" s="4" t="str">
        <x:v>0</x:v>
      </x:c>
      <x:c r="I341" s="4" t="str">
        <x:v>min=; max=; regex=/^[01]$/</x:v>
      </x:c>
      <x:c r="J341" s="4" t="str"/>
      <x:c r="K341" s="4" t="str">
        <x:v>静止目标去重：对于告警目标，开启此功能后，将进行目标静止状态检测，如判定为静止目标，则不会重复报警。</x:v>
      </x:c>
      <x:c r="L341" s="4" t="str">
        <x:v>默认/合法替代/空/非法类型；按已确认范围测min、max及相邻越界；保存回读并验证行为</x:v>
      </x:c>
      <x:c r="M341" s="4" t="str">
        <x:v>ALG-9</x:v>
      </x:c>
      <x:c r="N341" s="4" t="str">
        <x:v>未执行</x:v>
      </x:c>
      <x:c r="O341" s="12" t="str"/>
    </x:row>
    <x:row r="342" ht="32" customHeight="1">
      <x:c r="A342" s="9" t="str">
        <x:v>PAR-0338</x:v>
      </x:c>
      <x:c r="B342" s="9" t="str">
        <x:v>模板</x:v>
      </x:c>
      <x:c r="C342" s="9" t="str">
        <x:v>9</x:v>
      </x:c>
      <x:c r="D342" s="9" t="str">
        <x:v>烟雾检测</x:v>
      </x:c>
      <x:c r="E342" s="9" t="str">
        <x:v>param.overlapRate</x:v>
      </x:c>
      <x:c r="F342" s="9" t="str">
        <x:v>静止目标重叠率</x:v>
      </x:c>
      <x:c r="G342" s="9" t="str">
        <x:v>bm1688,cv186x,x86</x:v>
      </x:c>
      <x:c r="H342" s="9" t="str">
        <x:v>0.2</x:v>
      </x:c>
      <x:c r="I342" s="9" t="str">
        <x:v>min=; max=; regex=/^(0(\.\d{1,3})?|1(\.0{1,3})?)$/</x:v>
      </x:c>
      <x:c r="J342" s="9" t="str">
        <x:v>{"key":"param.restrainSwitch","value":"1"}</x:v>
      </x:c>
      <x:c r="K342" s="9" t="str">
        <x:v>静止目标重叠率，范围：0.0~1.0，限小数点后3位，默认：0.2。</x:v>
      </x:c>
      <x:c r="L342" s="9" t="str">
        <x:v>默认/合法替代/空/非法类型；按已确认范围测min、max及相邻越界；保存回读并验证行为</x:v>
      </x:c>
      <x:c r="M342" s="9" t="str">
        <x:v>ALG-9</x:v>
      </x:c>
      <x:c r="N342" s="9" t="str">
        <x:v>未执行</x:v>
      </x:c>
      <x:c r="O342" s="12" t="str"/>
    </x:row>
    <x:row r="343" ht="32" customHeight="1">
      <x:c r="A343" s="4" t="str">
        <x:v>PAR-0339</x:v>
      </x:c>
      <x:c r="B343" s="4" t="str">
        <x:v>模板</x:v>
      </x:c>
      <x:c r="C343" s="4" t="str">
        <x:v>9</x:v>
      </x:c>
      <x:c r="D343" s="4" t="str">
        <x:v>烟雾检测</x:v>
      </x:c>
      <x:c r="E343" s="4" t="str">
        <x:v>param.restrainTime</x:v>
      </x:c>
      <x:c r="F343" s="4" t="str">
        <x:v>静止目标去重时间(小时)</x:v>
      </x:c>
      <x:c r="G343" s="4" t="str">
        <x:v>bm1688,cv186x,x86</x:v>
      </x:c>
      <x:c r="H343" s="4" t="str">
        <x:v>6</x:v>
      </x:c>
      <x:c r="I343" s="4" t="str">
        <x:v>min=; max=; regex=/^([0-9]|[1][0-9]|[2][0-4])$/</x:v>
      </x:c>
      <x:c r="J343" s="4" t="str">
        <x:v>{"key":"param.restrainSwitch","value":"1"}</x:v>
      </x:c>
      <x:c r="K343" s="4" t="str">
        <x:v>静止目标去重时间，范围：1~24小时，默认：6小时。</x:v>
      </x:c>
      <x:c r="L343" s="4" t="str">
        <x:v>默认/合法替代/空/非法类型；按已确认范围测min、max及相邻越界；保存回读并验证行为</x:v>
      </x:c>
      <x:c r="M343" s="4" t="str">
        <x:v>ALG-9</x:v>
      </x:c>
      <x:c r="N343" s="4" t="str">
        <x:v>未执行</x:v>
      </x:c>
      <x:c r="O343" s="12" t="str"/>
    </x:row>
    <x:row r="344" ht="32" customHeight="1">
      <x:c r="A344" s="9" t="str">
        <x:v>PAR-0340</x:v>
      </x:c>
      <x:c r="B344" s="9" t="str">
        <x:v>模板</x:v>
      </x:c>
      <x:c r="C344" s="9" t="str">
        <x:v>9</x:v>
      </x:c>
      <x:c r="D344" s="9" t="str">
        <x:v>烟雾检测</x:v>
      </x:c>
      <x:c r="E344" s="9" t="str">
        <x:v>param.videoRepeatCount</x:v>
      </x:c>
      <x:c r="F344" s="9" t="str">
        <x:v>离线视频播放次数</x:v>
      </x:c>
      <x:c r="G344" s="9" t="str">
        <x:v>bm1688,cv186x,x86</x:v>
      </x:c>
      <x:c r="H344" s="9" t="str">
        <x:v>1</x:v>
      </x:c>
      <x:c r="I344" s="9" t="str">
        <x:v>min=; max=; regex=</x:v>
      </x:c>
      <x:c r="J344" s="9" t="str"/>
      <x:c r="K344" s="9" t="str">
        <x:v>离线视频播放次数：0 表示无限循环，1-100 表示总播放次数。</x:v>
      </x:c>
      <x:c r="L344" s="9" t="str">
        <x:v>默认/合法替代/空/非法类型；按已确认范围测min、max及相邻越界；保存回读并验证行为</x:v>
      </x:c>
      <x:c r="M344" s="9" t="str">
        <x:v>ALG-9</x:v>
      </x:c>
      <x:c r="N344" s="9" t="str">
        <x:v>未执行</x:v>
      </x:c>
      <x:c r="O344" s="12" t="str"/>
    </x:row>
    <x:row r="345" ht="40" customHeight="1">
      <x:c r="A345" s="4" t="str">
        <x:v>PAR-0341</x:v>
      </x:c>
      <x:c r="B345" s="4" t="str">
        <x:v>模板</x:v>
      </x:c>
      <x:c r="C345" s="4" t="str">
        <x:v>9</x:v>
      </x:c>
      <x:c r="D345" s="4" t="str">
        <x:v>烟雾检测</x:v>
      </x:c>
      <x:c r="E345" s="4" t="str">
        <x:v>param.videoReadFps</x:v>
      </x:c>
      <x:c r="F345" s="4" t="str">
        <x:v>离线视频播放取帧帧率</x:v>
      </x:c>
      <x:c r="G345" s="4" t="str">
        <x:v>bm1688,cv186x,x86</x:v>
      </x:c>
      <x:c r="H345" s="4" t="str">
        <x:v>-1</x:v>
      </x:c>
      <x:c r="I345" s="4" t="str">
        <x:v>min=; max=; regex=</x:v>
      </x:c>
      <x:c r="J345" s="4" t="str"/>
      <x:c r="K345" s="4" t="str">
        <x:v>离线视频有不正常帧速现象，指定该参数可以强制指定帧率。&lt;0 不强制，&gt;=0 视频取帧时强制帧率，默认：-1全帧。</x:v>
      </x:c>
      <x:c r="L345" s="4" t="str">
        <x:v>默认/合法替代/空/非法类型；按已确认范围测min、max及相邻越界；保存回读并验证行为</x:v>
      </x:c>
      <x:c r="M345" s="4" t="str">
        <x:v>ALG-9</x:v>
      </x:c>
      <x:c r="N345" s="4" t="str">
        <x:v>未执行</x:v>
      </x:c>
      <x:c r="O345" s="12" t="str"/>
    </x:row>
    <x:row r="346" ht="40" customHeight="1">
      <x:c r="A346" s="9" t="str">
        <x:v>PAR-0342</x:v>
      </x:c>
      <x:c r="B346" s="9" t="str">
        <x:v>模板</x:v>
      </x:c>
      <x:c r="C346" s="9" t="str">
        <x:v>9</x:v>
      </x:c>
      <x:c r="D346" s="9" t="str">
        <x:v>烟雾检测</x:v>
      </x:c>
      <x:c r="E346" s="9" t="str">
        <x:v>param.sensitivity</x:v>
      </x:c>
      <x:c r="F346" s="9" t="str">
        <x:v>灵敏度</x:v>
      </x:c>
      <x:c r="G346" s="9" t="str">
        <x:v>bm1688,cv186x,x86</x:v>
      </x:c>
      <x:c r="H346" s="9" t="str">
        <x:v>5</x:v>
      </x:c>
      <x:c r="I346" s="9" t="str">
        <x:v>min=; max=; regex=/^([1-9]|10)$/</x:v>
      </x:c>
      <x:c r="J346" s="9" t="str"/>
      <x:c r="K346" s="9" t="str">
        <x:v>灵敏度：用于计算总数范围内的命中数。如总数为10，取帧频率为3，则需时间≥10/3秒，才有可能产生告警。</x:v>
      </x:c>
      <x:c r="L346" s="9" t="str">
        <x:v>默认/合法替代/空/非法类型；按已确认范围测min、max及相邻越界；保存回读并验证行为</x:v>
      </x:c>
      <x:c r="M346" s="9" t="str">
        <x:v>ALG-9</x:v>
      </x:c>
      <x:c r="N346" s="9" t="str">
        <x:v>未执行</x:v>
      </x:c>
      <x:c r="O346" s="12" t="str"/>
    </x:row>
    <x:row r="347" ht="40" customHeight="1">
      <x:c r="A347" s="4" t="str">
        <x:v>PAR-0343</x:v>
      </x:c>
      <x:c r="B347" s="4" t="str">
        <x:v>模板</x:v>
      </x:c>
      <x:c r="C347" s="4" t="str">
        <x:v>9</x:v>
      </x:c>
      <x:c r="D347" s="4" t="str">
        <x:v>烟雾检测</x:v>
      </x:c>
      <x:c r="E347" s="4" t="str">
        <x:v>param.detectionDuration</x:v>
      </x:c>
      <x:c r="F347" s="4" t="str">
        <x:v>检测时间（秒）</x:v>
      </x:c>
      <x:c r="G347" s="4" t="str">
        <x:v>bm1688,cv186x,x86</x:v>
      </x:c>
      <x:c r="H347" s="4" t="str">
        <x:v>2</x:v>
      </x:c>
      <x:c r="I347" s="4" t="str">
        <x:v>min=; max=; regex=/^([1-9]|[1-9][0-9]|[1-9][0-9][0-9]|[1-2][0-9][0-9][0-9]|[3][0-5][0-9][0-9]|3600)$/</x:v>
      </x:c>
      <x:c r="J347" s="4" t="str"/>
      <x:c r="K347" s="4" t="str">
        <x:v>检测时间：范围：1-3600。默认2。</x:v>
      </x:c>
      <x:c r="L347" s="4" t="str">
        <x:v>默认/合法替代/空/非法类型；按已确认范围测min、max及相邻越界；保存回读并验证行为</x:v>
      </x:c>
      <x:c r="M347" s="4" t="str">
        <x:v>ALG-9</x:v>
      </x:c>
      <x:c r="N347" s="4" t="str">
        <x:v>未执行</x:v>
      </x:c>
      <x:c r="O347" s="12" t="str"/>
    </x:row>
    <x:row r="348" ht="32" customHeight="1">
      <x:c r="A348" s="9" t="str">
        <x:v>PAR-0344</x:v>
      </x:c>
      <x:c r="B348" s="9" t="str">
        <x:v>组件</x:v>
      </x:c>
      <x:c r="C348" s="9" t="str">
        <x:v>actions:AA_00001</x:v>
      </x:c>
      <x:c r="D348" s="9" t="str">
        <x:v>目标检测算法</x:v>
      </x:c>
      <x:c r="E348" s="9" t="str">
        <x:v>atomicCode</x:v>
      </x:c>
      <x:c r="F348" s="9" t="str">
        <x:v>选择原子模型</x:v>
      </x:c>
      <x:c r="G348" s="9" t="str">
        <x:v>bm1688,cv186x,x86</x:v>
      </x:c>
      <x:c r="H348" s="9" t="str"/>
      <x:c r="I348" s="9" t="str">
        <x:v>min=; max=; regex=</x:v>
      </x:c>
      <x:c r="J348" s="9" t="str"/>
      <x:c r="K348" s="9" t="str">
        <x:v>选择原子模型</x:v>
      </x:c>
      <x:c r="L348" s="9" t="str">
        <x:v>默认/合法替代/空/非法类型；按已确认范围测min、max及相邻越界；保存回读并验证行为</x:v>
      </x:c>
      <x:c r="M348" s="9" t="str">
        <x:v>FLOW-009</x:v>
      </x:c>
      <x:c r="N348" s="9" t="str">
        <x:v>未执行</x:v>
      </x:c>
      <x:c r="O348" s="12" t="str"/>
    </x:row>
    <x:row r="349" ht="32" customHeight="1">
      <x:c r="A349" s="4" t="str">
        <x:v>PAR-0345</x:v>
      </x:c>
      <x:c r="B349" s="4" t="str">
        <x:v>组件</x:v>
      </x:c>
      <x:c r="C349" s="4" t="str">
        <x:v>actions:AA_00001</x:v>
      </x:c>
      <x:c r="D349" s="4" t="str">
        <x:v>目标检测算法</x:v>
      </x:c>
      <x:c r="E349" s="4" t="str">
        <x:v>Enableftp</x:v>
      </x:c>
      <x:c r="F349" s="4" t="str">
        <x:v>自定义取帧频率</x:v>
      </x:c>
      <x:c r="G349" s="4" t="str">
        <x:v>bm1688,cv186x,x86</x:v>
      </x:c>
      <x:c r="H349" s="4" t="str">
        <x:v>0</x:v>
      </x:c>
      <x:c r="I349" s="4" t="str">
        <x:v>min=; max=; regex=/^[0-1]$/</x:v>
      </x:c>
      <x:c r="J349" s="4" t="str"/>
      <x:c r="K349" s="4" t="str">
        <x:v>自定义取帧频率：默认开启，关闭按全帧取帧。</x:v>
      </x:c>
      <x:c r="L349" s="4" t="str">
        <x:v>默认/合法替代/空/非法类型；按已确认范围测min、max及相邻越界；保存回读并验证行为</x:v>
      </x:c>
      <x:c r="M349" s="4" t="str">
        <x:v>FLOW-009</x:v>
      </x:c>
      <x:c r="N349" s="4" t="str">
        <x:v>未执行</x:v>
      </x:c>
      <x:c r="O349" s="12" t="str"/>
    </x:row>
    <x:row r="350" ht="32" customHeight="1">
      <x:c r="A350" s="9" t="str">
        <x:v>PAR-0346</x:v>
      </x:c>
      <x:c r="B350" s="9" t="str">
        <x:v>组件</x:v>
      </x:c>
      <x:c r="C350" s="9" t="str">
        <x:v>actions:AA_00001</x:v>
      </x:c>
      <x:c r="D350" s="9" t="str">
        <x:v>目标检测算法</x:v>
      </x:c>
      <x:c r="E350" s="9" t="str">
        <x:v>fps</x:v>
      </x:c>
      <x:c r="F350" s="9" t="str">
        <x:v>取帧频率</x:v>
      </x:c>
      <x:c r="G350" s="9" t="str">
        <x:v>bm1688,cv186x,x86</x:v>
      </x:c>
      <x:c r="H350" s="9" t="str">
        <x:v>-1</x:v>
      </x:c>
      <x:c r="I350" s="9" t="str">
        <x:v>min=; max=; regex=</x:v>
      </x:c>
      <x:c r="J350" s="9" t="str">
        <x:v>{"key":"Enableftp","value":"1"}</x:v>
      </x:c>
      <x:c r="K350" s="9" t="str">
        <x:v>自定义帧率，不要高于上游帧率。范围：0.01~1000，默认：-1全帧。</x:v>
      </x:c>
      <x:c r="L350" s="9" t="str">
        <x:v>默认/合法替代/空/非法类型；按已确认范围测min、max及相邻越界；保存回读并验证行为</x:v>
      </x:c>
      <x:c r="M350" s="9" t="str">
        <x:v>FLOW-009</x:v>
      </x:c>
      <x:c r="N350" s="9" t="str">
        <x:v>未执行</x:v>
      </x:c>
      <x:c r="O350" s="12" t="str"/>
    </x:row>
    <x:row r="351" ht="32" customHeight="1">
      <x:c r="A351" s="4" t="str">
        <x:v>PAR-0347</x:v>
      </x:c>
      <x:c r="B351" s="4" t="str">
        <x:v>组件</x:v>
      </x:c>
      <x:c r="C351" s="4" t="str">
        <x:v>actions:AA_00002</x:v>
      </x:c>
      <x:c r="D351" s="4" t="str">
        <x:v>目标分类算法</x:v>
      </x:c>
      <x:c r="E351" s="4" t="str">
        <x:v>atomicCode</x:v>
      </x:c>
      <x:c r="F351" s="4" t="str">
        <x:v>选择原子模型</x:v>
      </x:c>
      <x:c r="G351" s="4" t="str">
        <x:v>bm1688,cv186x,x86</x:v>
      </x:c>
      <x:c r="H351" s="4" t="str"/>
      <x:c r="I351" s="4" t="str">
        <x:v>min=; max=; regex=</x:v>
      </x:c>
      <x:c r="J351" s="4" t="str"/>
      <x:c r="K351" s="4" t="str">
        <x:v>选择原子模型</x:v>
      </x:c>
      <x:c r="L351" s="4" t="str">
        <x:v>默认/合法替代/空/非法类型；按已确认范围测min、max及相邻越界；保存回读并验证行为</x:v>
      </x:c>
      <x:c r="M351" s="4" t="str">
        <x:v>FLOW-009</x:v>
      </x:c>
      <x:c r="N351" s="4" t="str">
        <x:v>未执行</x:v>
      </x:c>
      <x:c r="O351" s="12" t="str"/>
    </x:row>
    <x:row r="352" ht="32" customHeight="1">
      <x:c r="A352" s="9" t="str">
        <x:v>PAR-0348</x:v>
      </x:c>
      <x:c r="B352" s="9" t="str">
        <x:v>组件</x:v>
      </x:c>
      <x:c r="C352" s="9" t="str">
        <x:v>actions:AA_00002</x:v>
      </x:c>
      <x:c r="D352" s="9" t="str">
        <x:v>目标分类算法</x:v>
      </x:c>
      <x:c r="E352" s="9" t="str">
        <x:v>Enableftp</x:v>
      </x:c>
      <x:c r="F352" s="9" t="str">
        <x:v>自定义取帧频率</x:v>
      </x:c>
      <x:c r="G352" s="9" t="str">
        <x:v>bm1688,cv186x,x86</x:v>
      </x:c>
      <x:c r="H352" s="9" t="str">
        <x:v>0</x:v>
      </x:c>
      <x:c r="I352" s="9" t="str">
        <x:v>min=; max=; regex=/^[0-1]$/</x:v>
      </x:c>
      <x:c r="J352" s="9" t="str"/>
      <x:c r="K352" s="9" t="str">
        <x:v>自定义取帧频率：默认开启，关闭则按前面动作的取帧频率。</x:v>
      </x:c>
      <x:c r="L352" s="9" t="str">
        <x:v>默认/合法替代/空/非法类型；按已确认范围测min、max及相邻越界；保存回读并验证行为</x:v>
      </x:c>
      <x:c r="M352" s="9" t="str">
        <x:v>FLOW-009</x:v>
      </x:c>
      <x:c r="N352" s="9" t="str">
        <x:v>未执行</x:v>
      </x:c>
      <x:c r="O352" s="12" t="str"/>
    </x:row>
    <x:row r="353" ht="32" customHeight="1">
      <x:c r="A353" s="4" t="str">
        <x:v>PAR-0349</x:v>
      </x:c>
      <x:c r="B353" s="4" t="str">
        <x:v>组件</x:v>
      </x:c>
      <x:c r="C353" s="4" t="str">
        <x:v>actions:AA_00002</x:v>
      </x:c>
      <x:c r="D353" s="4" t="str">
        <x:v>目标分类算法</x:v>
      </x:c>
      <x:c r="E353" s="4" t="str">
        <x:v>fps</x:v>
      </x:c>
      <x:c r="F353" s="4" t="str">
        <x:v>取帧帧率</x:v>
      </x:c>
      <x:c r="G353" s="4" t="str">
        <x:v>bm1688,cv186x,x86</x:v>
      </x:c>
      <x:c r="H353" s="4" t="str">
        <x:v>-1</x:v>
      </x:c>
      <x:c r="I353" s="4" t="str">
        <x:v>min=; max=; regex=</x:v>
      </x:c>
      <x:c r="J353" s="4" t="str">
        <x:v>{"key":"Enableftp","value":"1"}</x:v>
      </x:c>
      <x:c r="K353" s="4" t="str">
        <x:v>active需要的帧率,不填就继承之前的方法。范围：0.01-1000.0，默认：-1全帧。</x:v>
      </x:c>
      <x:c r="L353" s="4" t="str">
        <x:v>默认/合法替代/空/非法类型；按已确认范围测min、max及相邻越界；保存回读并验证行为</x:v>
      </x:c>
      <x:c r="M353" s="4" t="str">
        <x:v>FLOW-009</x:v>
      </x:c>
      <x:c r="N353" s="4" t="str">
        <x:v>未执行</x:v>
      </x:c>
      <x:c r="O353" s="12" t="str"/>
    </x:row>
    <x:row r="354" ht="32" customHeight="1">
      <x:c r="A354" s="9" t="str">
        <x:v>PAR-0350</x:v>
      </x:c>
      <x:c r="B354" s="9" t="str">
        <x:v>组件</x:v>
      </x:c>
      <x:c r="C354" s="9" t="str">
        <x:v>actions:AA_00003</x:v>
      </x:c>
      <x:c r="D354" s="9" t="str">
        <x:v>追踪算法</x:v>
      </x:c>
      <x:c r="E354" s="9" t="str">
        <x:v>trackSelect</x:v>
      </x:c>
      <x:c r="F354" s="9" t="str">
        <x:v>标签过滤参数</x:v>
      </x:c>
      <x:c r="G354" s="9" t="str">
        <x:v>bm1688,cv186x,x86</x:v>
      </x:c>
      <x:c r="H354" s="9" t="str"/>
      <x:c r="I354" s="9" t="str">
        <x:v>min=; max=; regex=</x:v>
      </x:c>
      <x:c r="J354" s="9" t="str"/>
      <x:c r="K354" s="9" t="str"/>
      <x:c r="L354" s="9" t="str">
        <x:v>默认/合法替代/空/非法类型；按已确认范围测min、max及相邻越界；保存回读并验证行为</x:v>
      </x:c>
      <x:c r="M354" s="9" t="str">
        <x:v>FLOW-009</x:v>
      </x:c>
      <x:c r="N354" s="9" t="str">
        <x:v>未执行</x:v>
      </x:c>
      <x:c r="O354" s="12" t="str"/>
    </x:row>
    <x:row r="355" ht="32" customHeight="1">
      <x:c r="A355" s="4" t="str">
        <x:v>PAR-0351</x:v>
      </x:c>
      <x:c r="B355" s="4" t="str">
        <x:v>组件</x:v>
      </x:c>
      <x:c r="C355" s="4" t="str">
        <x:v>actions:AA_00003</x:v>
      </x:c>
      <x:c r="D355" s="4" t="str">
        <x:v>追踪算法</x:v>
      </x:c>
      <x:c r="E355" s="4" t="str">
        <x:v>motionStatus</x:v>
      </x:c>
      <x:c r="F355" s="4" t="str">
        <x:v>状态判断</x:v>
      </x:c>
      <x:c r="G355" s="4" t="str">
        <x:v>bm1688,cv186x,x86</x:v>
      </x:c>
      <x:c r="H355" s="4" t="str">
        <x:v>0</x:v>
      </x:c>
      <x:c r="I355" s="4" t="str">
        <x:v>枚举：0,1,2</x:v>
      </x:c>
      <x:c r="J355" s="4" t="str"/>
      <x:c r="K355" s="4" t="str">
        <x:v>状态判断</x:v>
      </x:c>
      <x:c r="L355" s="4" t="str">
        <x:v>依次选每个枚举；非法值；保存刷新；触发依赖字段</x:v>
      </x:c>
      <x:c r="M355" s="4" t="str">
        <x:v>FLOW-009</x:v>
      </x:c>
      <x:c r="N355" s="4" t="str">
        <x:v>未执行</x:v>
      </x:c>
      <x:c r="O355" s="12" t="str"/>
    </x:row>
    <x:row r="356" ht="32" customHeight="1">
      <x:c r="A356" s="9" t="str">
        <x:v>PAR-0352</x:v>
      </x:c>
      <x:c r="B356" s="9" t="str">
        <x:v>组件</x:v>
      </x:c>
      <x:c r="C356" s="9" t="str">
        <x:v>actions:AA_00003</x:v>
      </x:c>
      <x:c r="D356" s="9" t="str">
        <x:v>追踪算法</x:v>
      </x:c>
      <x:c r="E356" s="9" t="str">
        <x:v>shapeChangeStatus</x:v>
      </x:c>
      <x:c r="F356" s="9" t="str">
        <x:v>形变状态判断</x:v>
      </x:c>
      <x:c r="G356" s="9" t="str">
        <x:v>bm1688,cv186x,x86</x:v>
      </x:c>
      <x:c r="H356" s="9" t="str">
        <x:v>0</x:v>
      </x:c>
      <x:c r="I356" s="9" t="str">
        <x:v>枚举：0,1,2</x:v>
      </x:c>
      <x:c r="J356" s="9" t="str"/>
      <x:c r="K356" s="9" t="str">
        <x:v>形变状态判断</x:v>
      </x:c>
      <x:c r="L356" s="9" t="str">
        <x:v>依次选每个枚举；非法值；保存刷新；触发依赖字段</x:v>
      </x:c>
      <x:c r="M356" s="9" t="str">
        <x:v>FLOW-009</x:v>
      </x:c>
      <x:c r="N356" s="9" t="str">
        <x:v>未执行</x:v>
      </x:c>
      <x:c r="O356" s="12" t="str"/>
    </x:row>
    <x:row r="357" ht="32" customHeight="1">
      <x:c r="A357" s="4" t="str">
        <x:v>PAR-0353</x:v>
      </x:c>
      <x:c r="B357" s="4" t="str">
        <x:v>组件</x:v>
      </x:c>
      <x:c r="C357" s="4" t="str">
        <x:v>actions:AA_00003</x:v>
      </x:c>
      <x:c r="D357" s="4" t="str">
        <x:v>追踪算法</x:v>
      </x:c>
      <x:c r="E357" s="4" t="str">
        <x:v>shapeChangeThreshold</x:v>
      </x:c>
      <x:c r="F357" s="4" t="str">
        <x:v>形变阈值</x:v>
      </x:c>
      <x:c r="G357" s="4" t="str">
        <x:v>bm1688,cv186x,x86</x:v>
      </x:c>
      <x:c r="H357" s="4" t="str">
        <x:v>0.1</x:v>
      </x:c>
      <x:c r="I357" s="4" t="str">
        <x:v>min=; max=; regex=</x:v>
      </x:c>
      <x:c r="J357" s="4" t="str">
        <x:v>{"key":"shapeChangeStatus","value":"1"}</x:v>
      </x:c>
      <x:c r="K357" s="4" t="str">
        <x:v>大于等于此阈值后认为目标形状发生了变化。取值范围：0.0-1.0</x:v>
      </x:c>
      <x:c r="L357" s="4" t="str">
        <x:v>默认/合法替代/空/非法类型；按已确认范围测min、max及相邻越界；保存回读并验证行为</x:v>
      </x:c>
      <x:c r="M357" s="4" t="str">
        <x:v>FLOW-009</x:v>
      </x:c>
      <x:c r="N357" s="4" t="str">
        <x:v>未执行</x:v>
      </x:c>
      <x:c r="O357" s="12" t="str"/>
    </x:row>
    <x:row r="358" ht="32" customHeight="1">
      <x:c r="A358" s="9" t="str">
        <x:v>PAR-0354</x:v>
      </x:c>
      <x:c r="B358" s="9" t="str">
        <x:v>组件</x:v>
      </x:c>
      <x:c r="C358" s="9" t="str">
        <x:v>actions:AA_00003</x:v>
      </x:c>
      <x:c r="D358" s="9" t="str">
        <x:v>追踪算法</x:v>
      </x:c>
      <x:c r="E358" s="9" t="str">
        <x:v>shapeChangeThreshold</x:v>
      </x:c>
      <x:c r="F358" s="9" t="str">
        <x:v>形变阈值</x:v>
      </x:c>
      <x:c r="G358" s="9" t="str">
        <x:v>bm1688,cv186x,x86</x:v>
      </x:c>
      <x:c r="H358" s="9" t="str">
        <x:v>0.1</x:v>
      </x:c>
      <x:c r="I358" s="9" t="str">
        <x:v>min=; max=; regex=</x:v>
      </x:c>
      <x:c r="J358" s="9" t="str">
        <x:v>{"key":"shapeChangeStatus","value":"2"}</x:v>
      </x:c>
      <x:c r="K358" s="9" t="str">
        <x:v>小于此阈值后认为目标是静止不变的。取值范围：0.0-1.0</x:v>
      </x:c>
      <x:c r="L358" s="9" t="str">
        <x:v>默认/合法替代/空/非法类型；按已确认范围测min、max及相邻越界；保存回读并验证行为</x:v>
      </x:c>
      <x:c r="M358" s="9" t="str">
        <x:v>FLOW-009</x:v>
      </x:c>
      <x:c r="N358" s="9" t="str">
        <x:v>未执行</x:v>
      </x:c>
      <x:c r="O358" s="12" t="str"/>
    </x:row>
    <x:row r="359" ht="32" customHeight="1">
      <x:c r="A359" s="4" t="str">
        <x:v>PAR-0355</x:v>
      </x:c>
      <x:c r="B359" s="4" t="str">
        <x:v>组件</x:v>
      </x:c>
      <x:c r="C359" s="4" t="str">
        <x:v>actions:AA_00004</x:v>
      </x:c>
      <x:c r="D359" s="4" t="str">
        <x:v>关键点算法</x:v>
      </x:c>
      <x:c r="E359" s="4" t="str">
        <x:v>atomicCode</x:v>
      </x:c>
      <x:c r="F359" s="4" t="str">
        <x:v>选择人脸关键点模型</x:v>
      </x:c>
      <x:c r="G359" s="4" t="str">
        <x:v>bm1688,cv186x,x86</x:v>
      </x:c>
      <x:c r="H359" s="4" t="str">
        <x:v>1000016</x:v>
      </x:c>
      <x:c r="I359" s="4" t="str">
        <x:v>min=; max=; regex=</x:v>
      </x:c>
      <x:c r="J359" s="4" t="str"/>
      <x:c r="K359" s="4" t="str">
        <x:v>选择原子模型</x:v>
      </x:c>
      <x:c r="L359" s="4" t="str">
        <x:v>默认/合法替代/空/非法类型；按已确认范围测min、max及相邻越界；保存回读并验证行为</x:v>
      </x:c>
      <x:c r="M359" s="4" t="str">
        <x:v>FLOW-009</x:v>
      </x:c>
      <x:c r="N359" s="4" t="str">
        <x:v>未执行</x:v>
      </x:c>
      <x:c r="O359" s="12" t="str"/>
    </x:row>
    <x:row r="360" ht="32" customHeight="1">
      <x:c r="A360" s="9" t="str">
        <x:v>PAR-0356</x:v>
      </x:c>
      <x:c r="B360" s="9" t="str">
        <x:v>组件</x:v>
      </x:c>
      <x:c r="C360" s="9" t="str">
        <x:v>actions:AA_00005</x:v>
      </x:c>
      <x:c r="D360" s="9" t="str">
        <x:v>特征提取算法</x:v>
      </x:c>
      <x:c r="E360" s="9" t="str">
        <x:v>atomicCode</x:v>
      </x:c>
      <x:c r="F360" s="9" t="str">
        <x:v>选择原子模型</x:v>
      </x:c>
      <x:c r="G360" s="9" t="str">
        <x:v>bm1688,cv186x,x86</x:v>
      </x:c>
      <x:c r="H360" s="9" t="str"/>
      <x:c r="I360" s="9" t="str">
        <x:v>min=; max=; regex=</x:v>
      </x:c>
      <x:c r="J360" s="9" t="str"/>
      <x:c r="K360" s="9" t="str">
        <x:v>选择原子模型</x:v>
      </x:c>
      <x:c r="L360" s="9" t="str">
        <x:v>默认/合法替代/空/非法类型；按已确认范围测min、max及相邻越界；保存回读并验证行为</x:v>
      </x:c>
      <x:c r="M360" s="9" t="str">
        <x:v>FLOW-009</x:v>
      </x:c>
      <x:c r="N360" s="9" t="str">
        <x:v>未执行</x:v>
      </x:c>
      <x:c r="O360" s="12" t="str"/>
    </x:row>
    <x:row r="361" ht="32" customHeight="1">
      <x:c r="A361" s="4" t="str">
        <x:v>PAR-0357</x:v>
      </x:c>
      <x:c r="B361" s="4" t="str">
        <x:v>组件</x:v>
      </x:c>
      <x:c r="C361" s="4" t="str">
        <x:v>actions:AA_00005</x:v>
      </x:c>
      <x:c r="D361" s="4" t="str">
        <x:v>特征提取算法</x:v>
      </x:c>
      <x:c r="E361" s="4" t="str">
        <x:v>fps</x:v>
      </x:c>
      <x:c r="F361" s="4" t="str">
        <x:v>取帧帧率</x:v>
      </x:c>
      <x:c r="G361" s="4" t="str">
        <x:v>bm1688,cv186x,x86</x:v>
      </x:c>
      <x:c r="H361" s="4" t="str">
        <x:v>-1</x:v>
      </x:c>
      <x:c r="I361" s="4" t="str">
        <x:v>min=; max=; regex=</x:v>
      </x:c>
      <x:c r="J361" s="4" t="str"/>
      <x:c r="K361" s="4" t="str">
        <x:v>active需要的帧率,不填就继承之前的方法。范围：0.01-1000.0，默认：-1全帧。</x:v>
      </x:c>
      <x:c r="L361" s="4" t="str">
        <x:v>默认/合法替代/空/非法类型；按已确认范围测min、max及相邻越界；保存回读并验证行为</x:v>
      </x:c>
      <x:c r="M361" s="4" t="str">
        <x:v>FLOW-009</x:v>
      </x:c>
      <x:c r="N361" s="4" t="str">
        <x:v>未执行</x:v>
      </x:c>
      <x:c r="O361" s="12" t="str"/>
    </x:row>
    <x:row r="362" ht="32" customHeight="1">
      <x:c r="A362" s="9" t="str">
        <x:v>PAR-0358</x:v>
      </x:c>
      <x:c r="B362" s="9" t="str">
        <x:v>组件</x:v>
      </x:c>
      <x:c r="C362" s="9" t="str">
        <x:v>actions:AA_00005</x:v>
      </x:c>
      <x:c r="D362" s="9" t="str">
        <x:v>特征提取算法</x:v>
      </x:c>
      <x:c r="E362" s="9" t="str">
        <x:v>featureInput</x:v>
      </x:c>
      <x:c r="F362" s="9" t="str">
        <x:v>特征输入类型</x:v>
      </x:c>
      <x:c r="G362" s="9" t="str">
        <x:v>bm1688,cv186x,x86</x:v>
      </x:c>
      <x:c r="H362" s="9" t="str">
        <x:v>0</x:v>
      </x:c>
      <x:c r="I362" s="9" t="str">
        <x:v>枚举：0,1,2,3</x:v>
      </x:c>
      <x:c r="J362" s="9" t="str"/>
      <x:c r="K362" s="9" t="str">
        <x:v>特征输入类型</x:v>
      </x:c>
      <x:c r="L362" s="9" t="str">
        <x:v>依次选每个枚举；非法值；保存刷新；触发依赖字段</x:v>
      </x:c>
      <x:c r="M362" s="9" t="str">
        <x:v>FLOW-009</x:v>
      </x:c>
      <x:c r="N362" s="9" t="str">
        <x:v>未执行</x:v>
      </x:c>
      <x:c r="O362" s="12" t="str"/>
    </x:row>
    <x:row r="363" ht="32" customHeight="1">
      <x:c r="A363" s="4" t="str">
        <x:v>PAR-0359</x:v>
      </x:c>
      <x:c r="B363" s="4" t="str">
        <x:v>组件</x:v>
      </x:c>
      <x:c r="C363" s="4" t="str">
        <x:v>actions:AA_00005</x:v>
      </x:c>
      <x:c r="D363" s="4" t="str">
        <x:v>特征提取算法</x:v>
      </x:c>
      <x:c r="E363" s="4" t="str">
        <x:v>param.faceSet</x:v>
      </x:c>
      <x:c r="F363" s="4" t="str">
        <x:v>绑定人脸分组</x:v>
      </x:c>
      <x:c r="G363" s="4" t="str">
        <x:v>bm1688,cv186x,x86</x:v>
      </x:c>
      <x:c r="H363" s="4" t="str"/>
      <x:c r="I363" s="4" t="str">
        <x:v>min=; max=; regex=</x:v>
      </x:c>
      <x:c r="J363" s="4" t="str">
        <x:v>{"key":"featureInput","value":"0"}</x:v>
      </x:c>
      <x:c r="K363" s="4" t="str">
        <x:v>选择需要比对的脸库分组</x:v>
      </x:c>
      <x:c r="L363" s="4" t="str">
        <x:v>默认/合法替代/空/非法类型；按已确认范围测min、max及相邻越界；保存回读并验证行为</x:v>
      </x:c>
      <x:c r="M363" s="4" t="str">
        <x:v>FLOW-009</x:v>
      </x:c>
      <x:c r="N363" s="4" t="str">
        <x:v>未执行</x:v>
      </x:c>
      <x:c r="O363" s="12" t="str"/>
    </x:row>
    <x:row r="364" ht="32" customHeight="1">
      <x:c r="A364" s="9" t="str">
        <x:v>PAR-0360</x:v>
      </x:c>
      <x:c r="B364" s="9" t="str">
        <x:v>组件</x:v>
      </x:c>
      <x:c r="C364" s="9" t="str">
        <x:v>actions:AA_00005</x:v>
      </x:c>
      <x:c r="D364" s="9" t="str">
        <x:v>特征提取算法</x:v>
      </x:c>
      <x:c r="E364" s="9" t="str">
        <x:v>param.workClothesSet</x:v>
      </x:c>
      <x:c r="F364" s="9" t="str">
        <x:v>绑定工服分组</x:v>
      </x:c>
      <x:c r="G364" s="9" t="str">
        <x:v>bm1688,cv186x,x86</x:v>
      </x:c>
      <x:c r="H364" s="9" t="str"/>
      <x:c r="I364" s="9" t="str">
        <x:v>min=; max=; regex=</x:v>
      </x:c>
      <x:c r="J364" s="9" t="str">
        <x:v>{"key":"featureInput","value":"1"}</x:v>
      </x:c>
      <x:c r="K364" s="9" t="str">
        <x:v>选择需要比对的工服分组</x:v>
      </x:c>
      <x:c r="L364" s="9" t="str">
        <x:v>默认/合法替代/空/非法类型；按已确认范围测min、max及相邻越界；保存回读并验证行为</x:v>
      </x:c>
      <x:c r="M364" s="9" t="str">
        <x:v>FLOW-009</x:v>
      </x:c>
      <x:c r="N364" s="9" t="str">
        <x:v>未执行</x:v>
      </x:c>
      <x:c r="O364" s="12" t="str"/>
    </x:row>
    <x:row r="365" ht="32" customHeight="1">
      <x:c r="A365" s="4" t="str">
        <x:v>PAR-0361</x:v>
      </x:c>
      <x:c r="B365" s="4" t="str">
        <x:v>组件</x:v>
      </x:c>
      <x:c r="C365" s="4" t="str">
        <x:v>actions:AA_00005</x:v>
      </x:c>
      <x:c r="D365" s="4" t="str">
        <x:v>特征提取算法</x:v>
      </x:c>
      <x:c r="E365" s="4" t="str">
        <x:v>param.commoditySet</x:v>
      </x:c>
      <x:c r="F365" s="4" t="str">
        <x:v>绑定机物分组</x:v>
      </x:c>
      <x:c r="G365" s="4" t="str">
        <x:v>bm1688,cv186x,x86</x:v>
      </x:c>
      <x:c r="H365" s="4" t="str"/>
      <x:c r="I365" s="4" t="str">
        <x:v>min=; max=; regex=</x:v>
      </x:c>
      <x:c r="J365" s="4" t="str">
        <x:v>{"key":"featureInput","value":"2"}</x:v>
      </x:c>
      <x:c r="K365" s="4" t="str">
        <x:v>选择需要比对的机物分组</x:v>
      </x:c>
      <x:c r="L365" s="4" t="str">
        <x:v>默认/合法替代/空/非法类型；按已确认范围测min、max及相邻越界；保存回读并验证行为</x:v>
      </x:c>
      <x:c r="M365" s="4" t="str">
        <x:v>FLOW-009</x:v>
      </x:c>
      <x:c r="N365" s="4" t="str">
        <x:v>未执行</x:v>
      </x:c>
      <x:c r="O365" s="12" t="str"/>
    </x:row>
    <x:row r="366" ht="32" customHeight="1">
      <x:c r="A366" s="9" t="str">
        <x:v>PAR-0362</x:v>
      </x:c>
      <x:c r="B366" s="9" t="str">
        <x:v>组件</x:v>
      </x:c>
      <x:c r="C366" s="9" t="str">
        <x:v>actions:AA_00005</x:v>
      </x:c>
      <x:c r="D366" s="9" t="str">
        <x:v>特征提取算法</x:v>
      </x:c>
      <x:c r="E366" s="9" t="str">
        <x:v>matchFlag</x:v>
      </x:c>
      <x:c r="F366" s="9" t="str">
        <x:v>匹配标志</x:v>
      </x:c>
      <x:c r="G366" s="9" t="str">
        <x:v>bm1688,cv186x,x86</x:v>
      </x:c>
      <x:c r="H366" s="9" t="str">
        <x:v>0</x:v>
      </x:c>
      <x:c r="I366" s="9" t="str">
        <x:v>枚举：0,1</x:v>
      </x:c>
      <x:c r="J366" s="9" t="str">
        <x:v>{"key":"featureInput","value":"1"}</x:v>
      </x:c>
      <x:c r="K366" s="9" t="str">
        <x:v>匹配标志</x:v>
      </x:c>
      <x:c r="L366" s="9" t="str">
        <x:v>依次选每个枚举；非法值；保存刷新；触发依赖字段</x:v>
      </x:c>
      <x:c r="M366" s="9" t="str">
        <x:v>FLOW-009</x:v>
      </x:c>
      <x:c r="N366" s="9" t="str">
        <x:v>未执行</x:v>
      </x:c>
      <x:c r="O366" s="12" t="str"/>
    </x:row>
    <x:row r="367" ht="32" customHeight="1">
      <x:c r="A367" s="4" t="str">
        <x:v>PAR-0363</x:v>
      </x:c>
      <x:c r="B367" s="4" t="str">
        <x:v>组件</x:v>
      </x:c>
      <x:c r="C367" s="4" t="str">
        <x:v>actions:AA_00005</x:v>
      </x:c>
      <x:c r="D367" s="4" t="str">
        <x:v>特征提取算法</x:v>
      </x:c>
      <x:c r="E367" s="4" t="str">
        <x:v>matchFlag</x:v>
      </x:c>
      <x:c r="F367" s="4" t="str">
        <x:v>匹配标志</x:v>
      </x:c>
      <x:c r="G367" s="4" t="str">
        <x:v>bm1688,cv186x,x86</x:v>
      </x:c>
      <x:c r="H367" s="4" t="str">
        <x:v>0</x:v>
      </x:c>
      <x:c r="I367" s="4" t="str">
        <x:v>枚举：0,1</x:v>
      </x:c>
      <x:c r="J367" s="4" t="str">
        <x:v>{"key":"featureInput","value":"2"}</x:v>
      </x:c>
      <x:c r="K367" s="4" t="str">
        <x:v>匹配标志</x:v>
      </x:c>
      <x:c r="L367" s="4" t="str">
        <x:v>依次选每个枚举；非法值；保存刷新；触发依赖字段</x:v>
      </x:c>
      <x:c r="M367" s="4" t="str">
        <x:v>FLOW-009</x:v>
      </x:c>
      <x:c r="N367" s="4" t="str">
        <x:v>未执行</x:v>
      </x:c>
      <x:c r="O367" s="12" t="str"/>
    </x:row>
    <x:row r="368" ht="32" customHeight="1">
      <x:c r="A368" s="9" t="str">
        <x:v>PAR-0364</x:v>
      </x:c>
      <x:c r="B368" s="9" t="str">
        <x:v>组件</x:v>
      </x:c>
      <x:c r="C368" s="9" t="str">
        <x:v>actions:AA_00011</x:v>
      </x:c>
      <x:c r="D368" s="9" t="str">
        <x:v>文字识别</x:v>
      </x:c>
      <x:c r="E368" s="9" t="str">
        <x:v>atomicCode</x:v>
      </x:c>
      <x:c r="F368" s="9" t="str">
        <x:v>选择 OCR 模型</x:v>
      </x:c>
      <x:c r="G368" s="9" t="str">
        <x:v>bm1688,cv186x,x86</x:v>
      </x:c>
      <x:c r="H368" s="9" t="str"/>
      <x:c r="I368" s="9" t="str">
        <x:v>min=; max=; regex=</x:v>
      </x:c>
      <x:c r="J368" s="9" t="str"/>
      <x:c r="K368" s="9" t="str">
        <x:v>选择 OCR 原子模型</x:v>
      </x:c>
      <x:c r="L368" s="9" t="str">
        <x:v>默认/合法替代/空/非法类型；按已确认范围测min、max及相邻越界；保存回读并验证行为</x:v>
      </x:c>
      <x:c r="M368" s="9" t="str">
        <x:v>FLOW-009</x:v>
      </x:c>
      <x:c r="N368" s="9" t="str">
        <x:v>未执行</x:v>
      </x:c>
      <x:c r="O368" s="12" t="str"/>
    </x:row>
    <x:row r="369" ht="32" customHeight="1">
      <x:c r="A369" s="4" t="str">
        <x:v>PAR-0365</x:v>
      </x:c>
      <x:c r="B369" s="4" t="str">
        <x:v>组件</x:v>
      </x:c>
      <x:c r="C369" s="4" t="str">
        <x:v>actions:BA_00002</x:v>
      </x:c>
      <x:c r="D369" s="4" t="str">
        <x:v>类别筛选</x:v>
      </x:c>
      <x:c r="E369" s="4" t="str"/>
      <x:c r="F369" s="4" t="str">
        <x:v>标签参数</x:v>
      </x:c>
      <x:c r="G369" s="4" t="str">
        <x:v>bm1688,cv186x,x86</x:v>
      </x:c>
      <x:c r="H369" s="4" t="str"/>
      <x:c r="I369" s="4" t="str">
        <x:v>min=; max=; regex=</x:v>
      </x:c>
      <x:c r="J369" s="4" t="str"/>
      <x:c r="K369" s="4" t="str"/>
      <x:c r="L369" s="4" t="str">
        <x:v>默认/合法替代/空/非法类型；按已确认范围测min、max及相邻越界；保存回读并验证行为</x:v>
      </x:c>
      <x:c r="M369" s="4" t="str">
        <x:v>FLOW-009</x:v>
      </x:c>
      <x:c r="N369" s="4" t="str">
        <x:v>未执行</x:v>
      </x:c>
      <x:c r="O369" s="12" t="str"/>
    </x:row>
    <x:row r="370" ht="32" customHeight="1">
      <x:c r="A370" s="9" t="str">
        <x:v>PAR-0366</x:v>
      </x:c>
      <x:c r="B370" s="9" t="str">
        <x:v>组件</x:v>
      </x:c>
      <x:c r="C370" s="9" t="str">
        <x:v>actions:BA_00003</x:v>
      </x:c>
      <x:c r="D370" s="9" t="str">
        <x:v>灵敏度计算-计时</x:v>
      </x:c>
      <x:c r="E370" s="9" t="str">
        <x:v>param.sensitivity</x:v>
      </x:c>
      <x:c r="F370" s="9" t="str">
        <x:v>灵敏度</x:v>
      </x:c>
      <x:c r="G370" s="9" t="str">
        <x:v>bm1688,cv186x,x86</x:v>
      </x:c>
      <x:c r="H370" s="9" t="str">
        <x:v>5</x:v>
      </x:c>
      <x:c r="I370" s="9" t="str">
        <x:v>min=; max=; regex=/^([1-9]|10)$/</x:v>
      </x:c>
      <x:c r="J370" s="9" t="str"/>
      <x:c r="K370" s="9" t="str">
        <x:v>灵敏度：范围1-10，默认：5。值越大，越容易进行告警的触发。</x:v>
      </x:c>
      <x:c r="L370" s="9" t="str">
        <x:v>默认/合法替代/空/非法类型；按已确认范围测min、max及相邻越界；保存回读并验证行为</x:v>
      </x:c>
      <x:c r="M370" s="9" t="str">
        <x:v>FLOW-009</x:v>
      </x:c>
      <x:c r="N370" s="9" t="str">
        <x:v>未执行</x:v>
      </x:c>
      <x:c r="O370" s="12" t="str"/>
    </x:row>
    <x:row r="371" ht="32" customHeight="1">
      <x:c r="A371" s="4" t="str">
        <x:v>PAR-0367</x:v>
      </x:c>
      <x:c r="B371" s="4" t="str">
        <x:v>组件</x:v>
      </x:c>
      <x:c r="C371" s="4" t="str">
        <x:v>actions:BA_00003</x:v>
      </x:c>
      <x:c r="D371" s="4" t="str">
        <x:v>灵敏度计算-计时</x:v>
      </x:c>
      <x:c r="E371" s="4" t="str">
        <x:v>detectionTimeType</x:v>
      </x:c>
      <x:c r="F371" s="4" t="str">
        <x:v>检测时间单位类型</x:v>
      </x:c>
      <x:c r="G371" s="4" t="str">
        <x:v>bm1688,cv186x,x86</x:v>
      </x:c>
      <x:c r="H371" s="4" t="str">
        <x:v>1</x:v>
      </x:c>
      <x:c r="I371" s="4" t="str">
        <x:v>枚举：1,2</x:v>
      </x:c>
      <x:c r="J371" s="4" t="str"/>
      <x:c r="K371" s="4" t="str">
        <x:v>检测时间类型</x:v>
      </x:c>
      <x:c r="L371" s="4" t="str">
        <x:v>依次选每个枚举；非法值；保存刷新；触发依赖字段</x:v>
      </x:c>
      <x:c r="M371" s="4" t="str">
        <x:v>FLOW-009</x:v>
      </x:c>
      <x:c r="N371" s="4" t="str">
        <x:v>未执行</x:v>
      </x:c>
      <x:c r="O371" s="12" t="str"/>
    </x:row>
    <x:row r="372" ht="40" customHeight="1">
      <x:c r="A372" s="9" t="str">
        <x:v>PAR-0368</x:v>
      </x:c>
      <x:c r="B372" s="9" t="str">
        <x:v>组件</x:v>
      </x:c>
      <x:c r="C372" s="9" t="str">
        <x:v>actions:BA_00003</x:v>
      </x:c>
      <x:c r="D372" s="9" t="str">
        <x:v>灵敏度计算-计时</x:v>
      </x:c>
      <x:c r="E372" s="9" t="str">
        <x:v>param.detectionDuration</x:v>
      </x:c>
      <x:c r="F372" s="9" t="str">
        <x:v>检测时间（秒）</x:v>
      </x:c>
      <x:c r="G372" s="9" t="str">
        <x:v>bm1688,cv186x,x86</x:v>
      </x:c>
      <x:c r="H372" s="9" t="str">
        <x:v>2</x:v>
      </x:c>
      <x:c r="I372" s="9" t="str">
        <x:v>min=; max=; regex=/^([1-9]|[1-9][0-9]|[1-9][0-9][0-9]|[1-2][0-9][0-9][0-9]|[3][0-5][0-9][0-9]|3600)$/</x:v>
      </x:c>
      <x:c r="J372" s="9" t="str">
        <x:v>{"key":"detectionTimeType","value":"1"}</x:v>
      </x:c>
      <x:c r="K372" s="9" t="str">
        <x:v>检测时间：范围：1-3600。默认2。</x:v>
      </x:c>
      <x:c r="L372" s="9" t="str">
        <x:v>默认/合法替代/空/非法类型；按已确认范围测min、max及相邻越界；保存回读并验证行为</x:v>
      </x:c>
      <x:c r="M372" s="9" t="str">
        <x:v>FLOW-009</x:v>
      </x:c>
      <x:c r="N372" s="9" t="str">
        <x:v>未执行</x:v>
      </x:c>
      <x:c r="O372" s="12" t="str"/>
    </x:row>
    <x:row r="373" ht="32" customHeight="1">
      <x:c r="A373" s="4" t="str">
        <x:v>PAR-0369</x:v>
      </x:c>
      <x:c r="B373" s="4" t="str">
        <x:v>组件</x:v>
      </x:c>
      <x:c r="C373" s="4" t="str">
        <x:v>actions:BA_00003</x:v>
      </x:c>
      <x:c r="D373" s="4" t="str">
        <x:v>灵敏度计算-计时</x:v>
      </x:c>
      <x:c r="E373" s="4" t="str">
        <x:v>param.detectionDurationMs</x:v>
      </x:c>
      <x:c r="F373" s="4" t="str">
        <x:v>检测时间（毫秒）</x:v>
      </x:c>
      <x:c r="G373" s="4" t="str">
        <x:v>bm1688,cv186x,x86</x:v>
      </x:c>
      <x:c r="H373" s="4" t="str">
        <x:v>2000</x:v>
      </x:c>
      <x:c r="I373" s="4" t="str">
        <x:v>min=; max=; regex=</x:v>
      </x:c>
      <x:c r="J373" s="4" t="str">
        <x:v>{"key":"detectionTimeType","value":"2"}</x:v>
      </x:c>
      <x:c r="K373" s="4" t="str">
        <x:v>检测时间：范围：1-3600000。默认2000。</x:v>
      </x:c>
      <x:c r="L373" s="4" t="str">
        <x:v>默认/合法替代/空/非法类型；按已确认范围测min、max及相邻越界；保存回读并验证行为</x:v>
      </x:c>
      <x:c r="M373" s="4" t="str">
        <x:v>FLOW-009</x:v>
      </x:c>
      <x:c r="N373" s="4" t="str">
        <x:v>未执行</x:v>
      </x:c>
      <x:c r="O373" s="12" t="str"/>
    </x:row>
    <x:row r="374" ht="32" customHeight="1">
      <x:c r="A374" s="9" t="str">
        <x:v>PAR-0370</x:v>
      </x:c>
      <x:c r="B374" s="9" t="str">
        <x:v>组件</x:v>
      </x:c>
      <x:c r="C374" s="9" t="str">
        <x:v>actions:BA_00004</x:v>
      </x:c>
      <x:c r="D374" s="9" t="str">
        <x:v>事件上报</x:v>
      </x:c>
      <x:c r="E374" s="9" t="str">
        <x:v>custParam.alarmType</x:v>
      </x:c>
      <x:c r="F374" s="9" t="str">
        <x:v>目标是否带跟踪</x:v>
      </x:c>
      <x:c r="G374" s="9" t="str">
        <x:v>bm1688,cv186x,x86</x:v>
      </x:c>
      <x:c r="H374" s="9" t="str">
        <x:v>1</x:v>
      </x:c>
      <x:c r="I374" s="9" t="str">
        <x:v>枚举：1,2,3</x:v>
      </x:c>
      <x:c r="J374" s="9" t="str"/>
      <x:c r="K374" s="9" t="str">
        <x:v>目标是否带跟踪，选择不同的告警抑制方式</x:v>
      </x:c>
      <x:c r="L374" s="9" t="str">
        <x:v>依次选每个枚举；非法值；保存刷新；触发依赖字段</x:v>
      </x:c>
      <x:c r="M374" s="9" t="str">
        <x:v>FLOW-009</x:v>
      </x:c>
      <x:c r="N374" s="9" t="str">
        <x:v>未执行</x:v>
      </x:c>
      <x:c r="O374" s="12" t="str"/>
    </x:row>
    <x:row r="375" ht="40" customHeight="1">
      <x:c r="A375" s="4" t="str">
        <x:v>PAR-0371</x:v>
      </x:c>
      <x:c r="B375" s="4" t="str">
        <x:v>组件</x:v>
      </x:c>
      <x:c r="C375" s="4" t="str">
        <x:v>actions:BA_00004</x:v>
      </x:c>
      <x:c r="D375" s="4" t="str">
        <x:v>事件上报</x:v>
      </x:c>
      <x:c r="E375" s="4" t="str">
        <x:v>param.alarmInterval</x:v>
      </x:c>
      <x:c r="F375" s="4" t="str">
        <x:v>告警时间间隔（秒）</x:v>
      </x:c>
      <x:c r="G375" s="4" t="str">
        <x:v>bm1688,cv186x,x86</x:v>
      </x:c>
      <x:c r="H375" s="4" t="str">
        <x:v>3</x:v>
      </x:c>
      <x:c r="I375" s="4" t="str">
        <x:v>min=; max=; regex=/^([1-9]|[1-9][0-9]|[1-9][0-9][0-9]|[1-9][0-9][0-9][0-9]|[1-2][0-9][0-9][0-9][0-9]|[3][0-5][0-9][0-9][0-9]|36000)$/</x:v>
      </x:c>
      <x:c r="J375" s="4" t="str">
        <x:v>{"key":"custParam.alarmType","value":"1"}</x:v>
      </x:c>
      <x:c r="K375" s="4" t="str">
        <x:v>告警时间间隔：2次告警事件的间隔。范围：1~36000秒，默认：3秒。</x:v>
      </x:c>
      <x:c r="L375" s="4" t="str">
        <x:v>默认/合法替代/空/非法类型；按已确认范围测min、max及相邻越界；保存回读并验证行为</x:v>
      </x:c>
      <x:c r="M375" s="4" t="str">
        <x:v>FLOW-009</x:v>
      </x:c>
      <x:c r="N375" s="4" t="str">
        <x:v>未执行</x:v>
      </x:c>
      <x:c r="O375" s="12" t="str"/>
    </x:row>
    <x:row r="376" ht="40" customHeight="1">
      <x:c r="A376" s="9" t="str">
        <x:v>PAR-0372</x:v>
      </x:c>
      <x:c r="B376" s="9" t="str">
        <x:v>组件</x:v>
      </x:c>
      <x:c r="C376" s="9" t="str">
        <x:v>actions:BA_00004</x:v>
      </x:c>
      <x:c r="D376" s="9" t="str">
        <x:v>事件上报</x:v>
      </x:c>
      <x:c r="E376" s="9" t="str">
        <x:v>param.targetAlarmInterval</x:v>
      </x:c>
      <x:c r="F376" s="9" t="str">
        <x:v>告警时间间隔（秒）</x:v>
      </x:c>
      <x:c r="G376" s="9" t="str">
        <x:v>bm1688,cv186x,x86</x:v>
      </x:c>
      <x:c r="H376" s="9" t="str">
        <x:v>3</x:v>
      </x:c>
      <x:c r="I376" s="9" t="str">
        <x:v>min=; max=; regex=/^([1-9]|[1-9][0-9]|[1-9][0-9][0-9]|[1-9][0-9][0-9][0-9]|[1-2][0-9][0-9][0-9][0-9]|[3][0-5][0-9][0-9][0-9]|36000)$/</x:v>
      </x:c>
      <x:c r="J376" s="9" t="str">
        <x:v>{"key":"custParam.alarmType","value":"2"}</x:v>
      </x:c>
      <x:c r="K376" s="9" t="str">
        <x:v>告警时间间隔：2次告警事件的间隔。范围：1~36000秒，默认：3秒。</x:v>
      </x:c>
      <x:c r="L376" s="9" t="str">
        <x:v>默认/合法替代/空/非法类型；按已确认范围测min、max及相邻越界；保存回读并验证行为</x:v>
      </x:c>
      <x:c r="M376" s="9" t="str">
        <x:v>FLOW-009</x:v>
      </x:c>
      <x:c r="N376" s="9" t="str">
        <x:v>未执行</x:v>
      </x:c>
      <x:c r="O376" s="12" t="str"/>
    </x:row>
    <x:row r="377" ht="32" customHeight="1">
      <x:c r="A377" s="4" t="str">
        <x:v>PAR-0373</x:v>
      </x:c>
      <x:c r="B377" s="4" t="str">
        <x:v>组件</x:v>
      </x:c>
      <x:c r="C377" s="4" t="str">
        <x:v>actions:BA_00004</x:v>
      </x:c>
      <x:c r="D377" s="4" t="str">
        <x:v>事件上报</x:v>
      </x:c>
      <x:c r="E377" s="4" t="str">
        <x:v>param.targetAlarmCount</x:v>
      </x:c>
      <x:c r="F377" s="4" t="str">
        <x:v>告警次数</x:v>
      </x:c>
      <x:c r="G377" s="4" t="str">
        <x:v>bm1688,cv186x,x86</x:v>
      </x:c>
      <x:c r="H377" s="4" t="str">
        <x:v>1</x:v>
      </x:c>
      <x:c r="I377" s="4" t="str">
        <x:v>min=; max=; regex=/^(0|[1-9]|[1-9][0-9]|100)$/</x:v>
      </x:c>
      <x:c r="J377" s="4" t="str">
        <x:v>{"key":"custParam.alarmType","value":"2"}</x:v>
      </x:c>
      <x:c r="K377" s="4" t="str">
        <x:v>告警次数：范围：0-100，默认为1。0表示不限次数。</x:v>
      </x:c>
      <x:c r="L377" s="4" t="str">
        <x:v>默认/合法替代/空/非法类型；按已确认范围测min、max及相邻越界；保存回读并验证行为</x:v>
      </x:c>
      <x:c r="M377" s="4" t="str">
        <x:v>FLOW-009</x:v>
      </x:c>
      <x:c r="N377" s="4" t="str">
        <x:v>未执行</x:v>
      </x:c>
      <x:c r="O377" s="12" t="str"/>
    </x:row>
    <x:row r="378" ht="40" customHeight="1">
      <x:c r="A378" s="9" t="str">
        <x:v>PAR-0374</x:v>
      </x:c>
      <x:c r="B378" s="9" t="str">
        <x:v>组件</x:v>
      </x:c>
      <x:c r="C378" s="9" t="str">
        <x:v>actions:BA_00004</x:v>
      </x:c>
      <x:c r="D378" s="9" t="str">
        <x:v>事件上报</x:v>
      </x:c>
      <x:c r="E378" s="9" t="str">
        <x:v>param.restrainSwitch</x:v>
      </x:c>
      <x:c r="F378" s="9" t="str">
        <x:v>静止目标去重</x:v>
      </x:c>
      <x:c r="G378" s="9" t="str">
        <x:v>bm1688,cv186x,x86</x:v>
      </x:c>
      <x:c r="H378" s="9" t="str">
        <x:v>0</x:v>
      </x:c>
      <x:c r="I378" s="9" t="str">
        <x:v>min=; max=; regex=/^[01]$/</x:v>
      </x:c>
      <x:c r="J378" s="9" t="str"/>
      <x:c r="K378" s="9" t="str">
        <x:v>静止目标去重：对于告警目标，开启此功能后，将进行目标静止状态检测，如判定为静止目标，则不会重复报警。</x:v>
      </x:c>
      <x:c r="L378" s="9" t="str">
        <x:v>默认/合法替代/空/非法类型；按已确认范围测min、max及相邻越界；保存回读并验证行为</x:v>
      </x:c>
      <x:c r="M378" s="9" t="str">
        <x:v>FLOW-009</x:v>
      </x:c>
      <x:c r="N378" s="9" t="str">
        <x:v>未执行</x:v>
      </x:c>
      <x:c r="O378" s="12" t="str"/>
    </x:row>
    <x:row r="379" ht="32" customHeight="1">
      <x:c r="A379" s="4" t="str">
        <x:v>PAR-0375</x:v>
      </x:c>
      <x:c r="B379" s="4" t="str">
        <x:v>组件</x:v>
      </x:c>
      <x:c r="C379" s="4" t="str">
        <x:v>actions:BA_00004</x:v>
      </x:c>
      <x:c r="D379" s="4" t="str">
        <x:v>事件上报</x:v>
      </x:c>
      <x:c r="E379" s="4" t="str">
        <x:v>param.overlapRate</x:v>
      </x:c>
      <x:c r="F379" s="4" t="str">
        <x:v>静止目标重叠率</x:v>
      </x:c>
      <x:c r="G379" s="4" t="str">
        <x:v>bm1688,cv186x,x86</x:v>
      </x:c>
      <x:c r="H379" s="4" t="str">
        <x:v>0.2</x:v>
      </x:c>
      <x:c r="I379" s="4" t="str">
        <x:v>min=; max=; regex=</x:v>
      </x:c>
      <x:c r="J379" s="4" t="str"/>
      <x:c r="K379" s="4" t="str">
        <x:v>静止目标重叠率，范围：0.0~1.0，限小数点后3位，默认：0.2。</x:v>
      </x:c>
      <x:c r="L379" s="4" t="str">
        <x:v>默认/合法替代/空/非法类型；按已确认范围测min、max及相邻越界；保存回读并验证行为</x:v>
      </x:c>
      <x:c r="M379" s="4" t="str">
        <x:v>FLOW-009</x:v>
      </x:c>
      <x:c r="N379" s="4" t="str">
        <x:v>未执行</x:v>
      </x:c>
      <x:c r="O379" s="12" t="str"/>
    </x:row>
    <x:row r="380" ht="32" customHeight="1">
      <x:c r="A380" s="9" t="str">
        <x:v>PAR-0376</x:v>
      </x:c>
      <x:c r="B380" s="9" t="str">
        <x:v>组件</x:v>
      </x:c>
      <x:c r="C380" s="9" t="str">
        <x:v>actions:BA_00004</x:v>
      </x:c>
      <x:c r="D380" s="9" t="str">
        <x:v>事件上报</x:v>
      </x:c>
      <x:c r="E380" s="9" t="str">
        <x:v>param.restrainTime</x:v>
      </x:c>
      <x:c r="F380" s="9" t="str">
        <x:v>静止目标去重时间(小时)</x:v>
      </x:c>
      <x:c r="G380" s="9" t="str">
        <x:v>bm1688,cv186x,x86</x:v>
      </x:c>
      <x:c r="H380" s="9" t="str">
        <x:v>6</x:v>
      </x:c>
      <x:c r="I380" s="9" t="str">
        <x:v>min=; max=; regex=/^([0-9]|[1][0-9]|[2][0-4])$/</x:v>
      </x:c>
      <x:c r="J380" s="9" t="str"/>
      <x:c r="K380" s="9" t="str">
        <x:v>静止目标去重时间，范围：1~24小时，默认：6小时。</x:v>
      </x:c>
      <x:c r="L380" s="9" t="str">
        <x:v>默认/合法替代/空/非法类型；按已确认范围测min、max及相邻越界；保存回读并验证行为</x:v>
      </x:c>
      <x:c r="M380" s="9" t="str">
        <x:v>FLOW-009</x:v>
      </x:c>
      <x:c r="N380" s="9" t="str">
        <x:v>未执行</x:v>
      </x:c>
      <x:c r="O380" s="12" t="str"/>
    </x:row>
    <x:row r="381" ht="32" customHeight="1">
      <x:c r="A381" s="4" t="str">
        <x:v>PAR-0377</x:v>
      </x:c>
      <x:c r="B381" s="4" t="str">
        <x:v>组件</x:v>
      </x:c>
      <x:c r="C381" s="4" t="str">
        <x:v>actions:BA_00004</x:v>
      </x:c>
      <x:c r="D381" s="4" t="str">
        <x:v>事件上报</x:v>
      </x:c>
      <x:c r="E381" s="4" t="str">
        <x:v>param.overlayTrajectory</x:v>
      </x:c>
      <x:c r="F381" s="4" t="str">
        <x:v>全景图叠加轨迹</x:v>
      </x:c>
      <x:c r="G381" s="4" t="str">
        <x:v>bm1688,cv186x,x86</x:v>
      </x:c>
      <x:c r="H381" s="4" t="str">
        <x:v>0</x:v>
      </x:c>
      <x:c r="I381" s="4" t="str">
        <x:v>min=; max=; regex=/^[01]$/</x:v>
      </x:c>
      <x:c r="J381" s="4" t="str">
        <x:v>{"key":"custParam.alarmType","value":"2"}</x:v>
      </x:c>
      <x:c r="K381" s="4" t="str">
        <x:v>打开后会在全景图上叠加目标运动轨迹</x:v>
      </x:c>
      <x:c r="L381" s="4" t="str">
        <x:v>默认/合法替代/空/非法类型；按已确认范围测min、max及相邻越界；保存回读并验证行为</x:v>
      </x:c>
      <x:c r="M381" s="4" t="str">
        <x:v>FLOW-009</x:v>
      </x:c>
      <x:c r="N381" s="4" t="str">
        <x:v>未执行</x:v>
      </x:c>
      <x:c r="O381" s="12" t="str"/>
    </x:row>
    <x:row r="382" ht="32" customHeight="1">
      <x:c r="A382" s="9" t="str">
        <x:v>PAR-0378</x:v>
      </x:c>
      <x:c r="B382" s="9" t="str">
        <x:v>组件</x:v>
      </x:c>
      <x:c r="C382" s="9" t="str">
        <x:v>actions:BA_00004</x:v>
      </x:c>
      <x:c r="D382" s="9" t="str">
        <x:v>事件上报</x:v>
      </x:c>
      <x:c r="E382" s="9" t="str">
        <x:v>alarmProperty</x:v>
      </x:c>
      <x:c r="F382" s="9" t="str">
        <x:v>事件扩展属性</x:v>
      </x:c>
      <x:c r="G382" s="9" t="str">
        <x:v>bm1688,cv186x,x86</x:v>
      </x:c>
      <x:c r="H382" s="9" t="str">
        <x:v>0</x:v>
      </x:c>
      <x:c r="I382" s="9" t="str">
        <x:v>枚举：0,1,3,5,6,7,8,9,10,11</x:v>
      </x:c>
      <x:c r="J382" s="9" t="str"/>
      <x:c r="K382" s="9" t="str">
        <x:v>上报数据中，部分特殊事件需要额外送参数</x:v>
      </x:c>
      <x:c r="L382" s="9" t="str">
        <x:v>依次选每个枚举；非法值；保存刷新；触发依赖字段</x:v>
      </x:c>
      <x:c r="M382" s="9" t="str">
        <x:v>FLOW-009</x:v>
      </x:c>
      <x:c r="N382" s="9" t="str">
        <x:v>未执行</x:v>
      </x:c>
      <x:c r="O382" s="12" t="str"/>
    </x:row>
    <x:row r="383" ht="32" customHeight="1">
      <x:c r="A383" s="4" t="str">
        <x:v>PAR-0379</x:v>
      </x:c>
      <x:c r="B383" s="4" t="str">
        <x:v>组件</x:v>
      </x:c>
      <x:c r="C383" s="4" t="str">
        <x:v>actions:BA_00004</x:v>
      </x:c>
      <x:c r="D383" s="4" t="str">
        <x:v>事件上报</x:v>
      </x:c>
      <x:c r="E383" s="4" t="str">
        <x:v>triggerEventRecordType</x:v>
      </x:c>
      <x:c r="F383" s="4" t="str">
        <x:v>触发类上报事件是否需要视频片段</x:v>
      </x:c>
      <x:c r="G383" s="4" t="str">
        <x:v>bm1688,cv186x,x86</x:v>
      </x:c>
      <x:c r="H383" s="4" t="str">
        <x:v>1</x:v>
      </x:c>
      <x:c r="I383" s="4" t="str">
        <x:v>min=; max=; regex=/^[0-1]$/</x:v>
      </x:c>
      <x:c r="J383" s="4" t="str"/>
      <x:c r="K383" s="4" t="str">
        <x:v>触发类上报事件是否需要视频片段</x:v>
      </x:c>
      <x:c r="L383" s="4" t="str">
        <x:v>默认/合法替代/空/非法类型；按已确认范围测min、max及相邻越界；保存回读并验证行为</x:v>
      </x:c>
      <x:c r="M383" s="4" t="str">
        <x:v>FLOW-009</x:v>
      </x:c>
      <x:c r="N383" s="4" t="str">
        <x:v>未执行</x:v>
      </x:c>
      <x:c r="O383" s="12" t="str"/>
    </x:row>
    <x:row r="384" ht="32" customHeight="1">
      <x:c r="A384" s="9" t="str">
        <x:v>PAR-0380</x:v>
      </x:c>
      <x:c r="B384" s="9" t="str">
        <x:v>组件</x:v>
      </x:c>
      <x:c r="C384" s="9" t="str">
        <x:v>actions:BA_00004</x:v>
      </x:c>
      <x:c r="D384" s="9" t="str">
        <x:v>事件上报</x:v>
      </x:c>
      <x:c r="E384" s="9" t="str">
        <x:v>realtimeEventRecordType</x:v>
      </x:c>
      <x:c r="F384" s="9" t="str">
        <x:v>定时上报事件是否需要视频片段</x:v>
      </x:c>
      <x:c r="G384" s="9" t="str">
        <x:v>bm1688,cv186x,x86</x:v>
      </x:c>
      <x:c r="H384" s="9" t="str">
        <x:v>0</x:v>
      </x:c>
      <x:c r="I384" s="9" t="str">
        <x:v>min=; max=; regex=/^[0-1]$/</x:v>
      </x:c>
      <x:c r="J384" s="9" t="str"/>
      <x:c r="K384" s="9" t="str">
        <x:v>定时上报事件是否需要视频片段</x:v>
      </x:c>
      <x:c r="L384" s="9" t="str">
        <x:v>默认/合法替代/空/非法类型；按已确认范围测min、max及相邻越界；保存回读并验证行为</x:v>
      </x:c>
      <x:c r="M384" s="9" t="str">
        <x:v>FLOW-009</x:v>
      </x:c>
      <x:c r="N384" s="9" t="str">
        <x:v>未执行</x:v>
      </x:c>
      <x:c r="O384" s="12" t="str"/>
    </x:row>
    <x:row r="385" ht="32" customHeight="1">
      <x:c r="A385" s="4" t="str">
        <x:v>PAR-0381</x:v>
      </x:c>
      <x:c r="B385" s="4" t="str">
        <x:v>组件</x:v>
      </x:c>
      <x:c r="C385" s="4" t="str">
        <x:v>actions:BA_00004</x:v>
      </x:c>
      <x:c r="D385" s="4" t="str">
        <x:v>事件上报</x:v>
      </x:c>
      <x:c r="E385" s="4" t="str">
        <x:v>enableLlmReview</x:v>
      </x:c>
      <x:c r="F385" s="4" t="str">
        <x:v>大模型审核</x:v>
      </x:c>
      <x:c r="G385" s="4" t="str">
        <x:v>bm1688,cv186x,x86</x:v>
      </x:c>
      <x:c r="H385" s="4" t="str">
        <x:v>0</x:v>
      </x:c>
      <x:c r="I385" s="4" t="str">
        <x:v>min=; max=; regex=/^[0-1]$/</x:v>
      </x:c>
      <x:c r="J385" s="4" t="str"/>
      <x:c r="K385" s="4" t="str">
        <x:v>启用后，告警事件在上报前将由Qwen3VL大模型进行二次审核验证，过滤误报。仅对触发类事件生效。</x:v>
      </x:c>
      <x:c r="L385" s="4" t="str">
        <x:v>默认/合法替代/空/非法类型；按已确认范围测min、max及相邻越界；保存回读并验证行为</x:v>
      </x:c>
      <x:c r="M385" s="4" t="str">
        <x:v>FLOW-009；EVENT-012；EVENT-013；EVENT-014</x:v>
      </x:c>
      <x:c r="N385" s="4" t="str">
        <x:v>未执行</x:v>
      </x:c>
      <x:c r="O385" s="12" t="str"/>
    </x:row>
    <x:row r="386" ht="32" customHeight="1">
      <x:c r="A386" s="9" t="str">
        <x:v>PAR-0382</x:v>
      </x:c>
      <x:c r="B386" s="9" t="str">
        <x:v>组件</x:v>
      </x:c>
      <x:c r="C386" s="9" t="str">
        <x:v>actions:BA_00004</x:v>
      </x:c>
      <x:c r="D386" s="9" t="str">
        <x:v>事件上报</x:v>
      </x:c>
      <x:c r="E386" s="9" t="str">
        <x:v>llmProvider</x:v>
      </x:c>
      <x:c r="F386" s="9" t="str">
        <x:v>Review Inference Mode</x:v>
      </x:c>
      <x:c r="G386" s="9" t="str">
        <x:v>bm1688,cv186x,x86</x:v>
      </x:c>
      <x:c r="H386" s="9" t="str">
        <x:v>local_model</x:v>
      </x:c>
      <x:c r="I386" s="9" t="str">
        <x:v>枚举：local_model,openai_vlm</x:v>
      </x:c>
      <x:c r="J386" s="9" t="str">
        <x:v>{"key":"enableLlmReview","value":"1"}</x:v>
      </x:c>
      <x:c r="K386" s="9" t="str">
        <x:v>Choose local review model or OpenAI-compatible API</x:v>
      </x:c>
      <x:c r="L386" s="9" t="str">
        <x:v>依次选每个枚举；非法值；保存刷新；触发依赖字段</x:v>
      </x:c>
      <x:c r="M386" s="9" t="str">
        <x:v>FLOW-009；EVENT-013；EVENT-014</x:v>
      </x:c>
      <x:c r="N386" s="9" t="str">
        <x:v>未执行</x:v>
      </x:c>
      <x:c r="O386" s="12" t="str"/>
    </x:row>
    <x:row r="387" ht="32" customHeight="1">
      <x:c r="A387" s="4" t="str">
        <x:v>PAR-0383</x:v>
      </x:c>
      <x:c r="B387" s="4" t="str">
        <x:v>组件</x:v>
      </x:c>
      <x:c r="C387" s="4" t="str">
        <x:v>actions:BA_00004</x:v>
      </x:c>
      <x:c r="D387" s="4" t="str">
        <x:v>事件上报</x:v>
      </x:c>
      <x:c r="E387" s="4" t="str">
        <x:v>llmOpenaiBaseUrl</x:v>
      </x:c>
      <x:c r="F387" s="4" t="str">
        <x:v>base_url</x:v>
      </x:c>
      <x:c r="G387" s="4" t="str">
        <x:v>bm1688,cv186x,x86</x:v>
      </x:c>
      <x:c r="H387" s="4" t="str">
        <x:v>http://127.0.0.1:8000/v1</x:v>
      </x:c>
      <x:c r="I387" s="4" t="str">
        <x:v>min=; max=; regex=</x:v>
      </x:c>
      <x:c r="J387" s="4" t="str">
        <x:v>{"key":"llmProvider","value":"openai_vlm"}</x:v>
      </x:c>
      <x:c r="K387" s="4" t="str">
        <x:v>OpenAI-compatible API base URL, for example http://127.0.0.1:8000/v1</x:v>
      </x:c>
      <x:c r="L387" s="4" t="str">
        <x:v>默认/合法替代/空/非法类型；按已确认范围测min、max及相邻越界；保存回读并验证行为</x:v>
      </x:c>
      <x:c r="M387" s="4" t="str">
        <x:v>FLOW-009；EVENT-013；EVENT-014</x:v>
      </x:c>
      <x:c r="N387" s="4" t="str">
        <x:v>未执行</x:v>
      </x:c>
      <x:c r="O387" s="12" t="str"/>
    </x:row>
    <x:row r="388" ht="32" customHeight="1">
      <x:c r="A388" s="9" t="str">
        <x:v>PAR-0384</x:v>
      </x:c>
      <x:c r="B388" s="9" t="str">
        <x:v>组件</x:v>
      </x:c>
      <x:c r="C388" s="9" t="str">
        <x:v>actions:BA_00004</x:v>
      </x:c>
      <x:c r="D388" s="9" t="str">
        <x:v>事件上报</x:v>
      </x:c>
      <x:c r="E388" s="9" t="str">
        <x:v>llmOpenaiApiKey</x:v>
      </x:c>
      <x:c r="F388" s="9" t="str">
        <x:v>api_key</x:v>
      </x:c>
      <x:c r="G388" s="9" t="str">
        <x:v>bm1688,cv186x,x86</x:v>
      </x:c>
      <x:c r="H388" s="9" t="str"/>
      <x:c r="I388" s="9" t="str">
        <x:v>min=; max=; regex=</x:v>
      </x:c>
      <x:c r="J388" s="9" t="str">
        <x:v>{"key":"llmProvider","value":"openai_vlm"}</x:v>
      </x:c>
      <x:c r="K388" s="9" t="str">
        <x:v>OpenAI API key; leave empty when local vLLM authentication is disabled</x:v>
      </x:c>
      <x:c r="L388" s="9" t="str">
        <x:v>默认/合法替代/空/非法类型；按已确认范围测min、max及相邻越界；保存回读并验证行为</x:v>
      </x:c>
      <x:c r="M388" s="9" t="str">
        <x:v>FLOW-009；EVENT-013；EVENT-014</x:v>
      </x:c>
      <x:c r="N388" s="9" t="str">
        <x:v>未执行</x:v>
      </x:c>
      <x:c r="O388" s="12" t="str"/>
    </x:row>
    <x:row r="389" ht="32" customHeight="1">
      <x:c r="A389" s="4" t="str">
        <x:v>PAR-0385</x:v>
      </x:c>
      <x:c r="B389" s="4" t="str">
        <x:v>组件</x:v>
      </x:c>
      <x:c r="C389" s="4" t="str">
        <x:v>actions:BA_00004</x:v>
      </x:c>
      <x:c r="D389" s="4" t="str">
        <x:v>事件上报</x:v>
      </x:c>
      <x:c r="E389" s="4" t="str">
        <x:v>llmOpenaiModel</x:v>
      </x:c>
      <x:c r="F389" s="4" t="str">
        <x:v>model</x:v>
      </x:c>
      <x:c r="G389" s="4" t="str">
        <x:v>bm1688,cv186x,x86</x:v>
      </x:c>
      <x:c r="H389" s="4" t="str">
        <x:v>Qwen/Qwen3-VL-2B-Instruct</x:v>
      </x:c>
      <x:c r="I389" s="4" t="str">
        <x:v>min=; max=; regex=</x:v>
      </x:c>
      <x:c r="J389" s="4" t="str">
        <x:v>{"key":"llmProvider","value":"openai_vlm"}</x:v>
      </x:c>
      <x:c r="K389" s="4" t="str">
        <x:v>OpenAI API model name</x:v>
      </x:c>
      <x:c r="L389" s="4" t="str">
        <x:v>默认/合法替代/空/非法类型；按已确认范围测min、max及相邻越界；保存回读并验证行为</x:v>
      </x:c>
      <x:c r="M389" s="4" t="str">
        <x:v>FLOW-009；EVENT-013；EVENT-014</x:v>
      </x:c>
      <x:c r="N389" s="4" t="str">
        <x:v>未执行</x:v>
      </x:c>
      <x:c r="O389" s="12" t="str"/>
    </x:row>
    <x:row r="390" ht="32" customHeight="1">
      <x:c r="A390" s="9" t="str">
        <x:v>PAR-0386</x:v>
      </x:c>
      <x:c r="B390" s="9" t="str">
        <x:v>组件</x:v>
      </x:c>
      <x:c r="C390" s="9" t="str">
        <x:v>actions:BA_00004</x:v>
      </x:c>
      <x:c r="D390" s="9" t="str">
        <x:v>事件上报</x:v>
      </x:c>
      <x:c r="E390" s="9" t="str">
        <x:v>llmOpenaiEndpoint</x:v>
      </x:c>
      <x:c r="F390" s="9" t="str">
        <x:v>endpoint</x:v>
      </x:c>
      <x:c r="G390" s="9" t="str">
        <x:v>bm1688,cv186x,x86</x:v>
      </x:c>
      <x:c r="H390" s="9" t="str">
        <x:v>/chat/completions</x:v>
      </x:c>
      <x:c r="I390" s="9" t="str">
        <x:v>min=; max=; regex=</x:v>
      </x:c>
      <x:c r="J390" s="9" t="str">
        <x:v>{"key":"llmProvider","value":"openai_vlm"}</x:v>
      </x:c>
      <x:c r="K390" s="9" t="str">
        <x:v>OpenAI-compatible API path, default /chat/completions</x:v>
      </x:c>
      <x:c r="L390" s="9" t="str">
        <x:v>默认/合法替代/空/非法类型；按已确认范围测min、max及相邻越界；保存回读并验证行为</x:v>
      </x:c>
      <x:c r="M390" s="9" t="str">
        <x:v>FLOW-009；EVENT-013；EVENT-014</x:v>
      </x:c>
      <x:c r="N390" s="9" t="str">
        <x:v>未执行</x:v>
      </x:c>
      <x:c r="O390" s="12" t="str"/>
    </x:row>
    <x:row r="391" ht="32" customHeight="1">
      <x:c r="A391" s="4" t="str">
        <x:v>PAR-0387</x:v>
      </x:c>
      <x:c r="B391" s="4" t="str">
        <x:v>组件</x:v>
      </x:c>
      <x:c r="C391" s="4" t="str">
        <x:v>actions:BA_00004</x:v>
      </x:c>
      <x:c r="D391" s="4" t="str">
        <x:v>事件上报</x:v>
      </x:c>
      <x:c r="E391" s="4" t="str">
        <x:v>llmOpenaiTimeoutMs</x:v>
      </x:c>
      <x:c r="F391" s="4" t="str">
        <x:v>timeout_ms</x:v>
      </x:c>
      <x:c r="G391" s="4" t="str">
        <x:v>bm1688,cv186x,x86</x:v>
      </x:c>
      <x:c r="H391" s="4" t="str">
        <x:v>60000</x:v>
      </x:c>
      <x:c r="I391" s="4" t="str">
        <x:v>min=; max=; regex=</x:v>
      </x:c>
      <x:c r="J391" s="4" t="str">
        <x:v>{"key":"llmProvider","value":"openai_vlm"}</x:v>
      </x:c>
      <x:c r="K391" s="4" t="str">
        <x:v>Request timeout in milliseconds</x:v>
      </x:c>
      <x:c r="L391" s="4" t="str">
        <x:v>默认/合法替代/空/非法类型；按已确认范围测min、max及相邻越界；保存回读并验证行为</x:v>
      </x:c>
      <x:c r="M391" s="4" t="str">
        <x:v>FLOW-009；EVENT-013；EVENT-014</x:v>
      </x:c>
      <x:c r="N391" s="4" t="str">
        <x:v>未执行</x:v>
      </x:c>
      <x:c r="O391" s="12" t="str"/>
    </x:row>
    <x:row r="392" ht="32" customHeight="1">
      <x:c r="A392" s="9" t="str">
        <x:v>PAR-0388</x:v>
      </x:c>
      <x:c r="B392" s="9" t="str">
        <x:v>组件</x:v>
      </x:c>
      <x:c r="C392" s="9" t="str">
        <x:v>actions:BA_00004</x:v>
      </x:c>
      <x:c r="D392" s="9" t="str">
        <x:v>事件上报</x:v>
      </x:c>
      <x:c r="E392" s="9" t="str">
        <x:v>llmOpenaiMaxTokens</x:v>
      </x:c>
      <x:c r="F392" s="9" t="str">
        <x:v>max_tokens</x:v>
      </x:c>
      <x:c r="G392" s="9" t="str">
        <x:v>bm1688,cv186x,x86</x:v>
      </x:c>
      <x:c r="H392" s="9" t="str">
        <x:v>256</x:v>
      </x:c>
      <x:c r="I392" s="9" t="str">
        <x:v>min=; max=; regex=</x:v>
      </x:c>
      <x:c r="J392" s="9" t="str">
        <x:v>{"key":"llmProvider","value":"openai_vlm"}</x:v>
      </x:c>
      <x:c r="K392" s="9" t="str">
        <x:v>Maximum output token count</x:v>
      </x:c>
      <x:c r="L392" s="9" t="str">
        <x:v>默认/合法替代/空/非法类型；按已确认范围测min、max及相邻越界；保存回读并验证行为</x:v>
      </x:c>
      <x:c r="M392" s="9" t="str">
        <x:v>FLOW-009；EVENT-013；EVENT-014</x:v>
      </x:c>
      <x:c r="N392" s="9" t="str">
        <x:v>未执行</x:v>
      </x:c>
      <x:c r="O392" s="12" t="str"/>
    </x:row>
    <x:row r="393" ht="32" customHeight="1">
      <x:c r="A393" s="4" t="str">
        <x:v>PAR-0389</x:v>
      </x:c>
      <x:c r="B393" s="4" t="str">
        <x:v>组件</x:v>
      </x:c>
      <x:c r="C393" s="4" t="str">
        <x:v>actions:BA_00004</x:v>
      </x:c>
      <x:c r="D393" s="4" t="str">
        <x:v>事件上报</x:v>
      </x:c>
      <x:c r="E393" s="4" t="str">
        <x:v>llmAtomicCode</x:v>
      </x:c>
      <x:c r="F393" s="4" t="str">
        <x:v>审核模型</x:v>
      </x:c>
      <x:c r="G393" s="4" t="str">
        <x:v>bm1688,cv186x,x86</x:v>
      </x:c>
      <x:c r="H393" s="4" t="str"/>
      <x:c r="I393" s="4" t="str">
        <x:v>min=; max=; regex=</x:v>
      </x:c>
      <x:c r="J393" s="4" t="str">
        <x:v>{"key":"llmProvider","value":"local_model"}</x:v>
      </x:c>
      <x:c r="K393" s="4" t="str">
        <x:v>选择用于告警审核的Qwen3VL语言视觉大模型</x:v>
      </x:c>
      <x:c r="L393" s="4" t="str">
        <x:v>默认/合法替代/空/非法类型；按已确认范围测min、max及相邻越界；保存回读并验证行为</x:v>
      </x:c>
      <x:c r="M393" s="4" t="str">
        <x:v>FLOW-009；EVENT-012</x:v>
      </x:c>
      <x:c r="N393" s="4" t="str">
        <x:v>未执行</x:v>
      </x:c>
      <x:c r="O393" s="12" t="str"/>
    </x:row>
    <x:row r="394" ht="32" customHeight="1">
      <x:c r="A394" s="9" t="str">
        <x:v>PAR-0390</x:v>
      </x:c>
      <x:c r="B394" s="9" t="str">
        <x:v>组件</x:v>
      </x:c>
      <x:c r="C394" s="9" t="str">
        <x:v>actions:BA_00004</x:v>
      </x:c>
      <x:c r="D394" s="9" t="str">
        <x:v>事件上报</x:v>
      </x:c>
      <x:c r="E394" s="9" t="str">
        <x:v>llmReviewContent</x:v>
      </x:c>
      <x:c r="F394" s="9" t="str">
        <x:v>审核内容</x:v>
      </x:c>
      <x:c r="G394" s="9" t="str">
        <x:v>bm1688,cv186x,x86</x:v>
      </x:c>
      <x:c r="H394" s="9" t="str"/>
      <x:c r="I394" s="9" t="str">
        <x:v>min=; max=; regex=</x:v>
      </x:c>
      <x:c r="J394" s="9" t="str">
        <x:v>{"key":"enableLlmReview","value":"1"}</x:v>
      </x:c>
      <x:c r="K394" s="9" t="str">
        <x:v>用于审核的内容描述，比如：火焰、未带安全帽的人、烟雾等。留空则自动使用算法名称。</x:v>
      </x:c>
      <x:c r="L394" s="9" t="str">
        <x:v>默认/合法替代/空/非法类型；按已确认范围测min、max及相邻越界；保存回读并验证行为</x:v>
      </x:c>
      <x:c r="M394" s="9" t="str">
        <x:v>FLOW-009；EVENT-012；EVENT-013；EVENT-014</x:v>
      </x:c>
      <x:c r="N394" s="9" t="str">
        <x:v>未执行</x:v>
      </x:c>
      <x:c r="O394" s="12" t="str"/>
    </x:row>
    <x:row r="395" ht="32" customHeight="1">
      <x:c r="A395" s="4" t="str">
        <x:v>PAR-0391</x:v>
      </x:c>
      <x:c r="B395" s="4" t="str">
        <x:v>组件</x:v>
      </x:c>
      <x:c r="C395" s="4" t="str">
        <x:v>actions:BA_00005</x:v>
      </x:c>
      <x:c r="D395" s="4" t="str">
        <x:v>区域告警判断</x:v>
      </x:c>
      <x:c r="E395" s="4" t="str">
        <x:v>areaAlarmType</x:v>
      </x:c>
      <x:c r="F395" s="4" t="str">
        <x:v>区域告警统计方式</x:v>
      </x:c>
      <x:c r="G395" s="4" t="str">
        <x:v>bm1688,cv186x,x86</x:v>
      </x:c>
      <x:c r="H395" s="4" t="str">
        <x:v>0</x:v>
      </x:c>
      <x:c r="I395" s="4" t="str">
        <x:v>枚举：0,1,2,3,4,5,6</x:v>
      </x:c>
      <x:c r="J395" s="4" t="str"/>
      <x:c r="K395" s="4" t="str">
        <x:v>区域告警统计方式</x:v>
      </x:c>
      <x:c r="L395" s="4" t="str">
        <x:v>依次选每个枚举；非法值；保存刷新；触发依赖字段</x:v>
      </x:c>
      <x:c r="M395" s="4" t="str">
        <x:v>FLOW-009</x:v>
      </x:c>
      <x:c r="N395" s="4" t="str">
        <x:v>未执行</x:v>
      </x:c>
      <x:c r="O395" s="12" t="str"/>
    </x:row>
    <x:row r="396" ht="32" customHeight="1">
      <x:c r="A396" s="9" t="str">
        <x:v>PAR-0392</x:v>
      </x:c>
      <x:c r="B396" s="9" t="str">
        <x:v>组件</x:v>
      </x:c>
      <x:c r="C396" s="9" t="str">
        <x:v>actions:BA_00005</x:v>
      </x:c>
      <x:c r="D396" s="9" t="str">
        <x:v>区域告警判断</x:v>
      </x:c>
      <x:c r="E396" s="9" t="str">
        <x:v>inputAreaType</x:v>
      </x:c>
      <x:c r="F396" s="9" t="str">
        <x:v>输入区域类型</x:v>
      </x:c>
      <x:c r="G396" s="9" t="str">
        <x:v>bm1688,cv186x,x86</x:v>
      </x:c>
      <x:c r="H396" s="9" t="str">
        <x:v>1</x:v>
      </x:c>
      <x:c r="I396" s="9" t="str">
        <x:v>枚举：1,2</x:v>
      </x:c>
      <x:c r="J396" s="9" t="str"/>
      <x:c r="K396" s="9" t="str">
        <x:v>输入区域类型</x:v>
      </x:c>
      <x:c r="L396" s="9" t="str">
        <x:v>依次选每个枚举；非法值；保存刷新；触发依赖字段</x:v>
      </x:c>
      <x:c r="M396" s="9" t="str">
        <x:v>FLOW-009</x:v>
      </x:c>
      <x:c r="N396" s="9" t="str">
        <x:v>未执行</x:v>
      </x:c>
      <x:c r="O396" s="12" t="str"/>
    </x:row>
    <x:row r="397" ht="40" customHeight="1">
      <x:c r="A397" s="4" t="str">
        <x:v>PAR-0393</x:v>
      </x:c>
      <x:c r="B397" s="4" t="str">
        <x:v>组件</x:v>
      </x:c>
      <x:c r="C397" s="4" t="str">
        <x:v>actions:BA_00005</x:v>
      </x:c>
      <x:c r="D397" s="4" t="str">
        <x:v>区域告警判断</x:v>
      </x:c>
      <x:c r="E397" s="4" t="str">
        <x:v>param.areaLimitTargetCount</x:v>
      </x:c>
      <x:c r="F397" s="4" t="str">
        <x:v>目标数量阈值</x:v>
      </x:c>
      <x:c r="G397" s="4" t="str">
        <x:v>bm1688,cv186x,x86</x:v>
      </x:c>
      <x:c r="H397" s="4" t="str">
        <x:v>0</x:v>
      </x:c>
      <x:c r="I397" s="4" t="str">
        <x:v>min=; max=; regex=/^([0-9]|[1-9][0-9]|[1-9][0-9][0-9]|[1-2][0-9][0-9][0-9]|[3][0-5][0-9][0-9]|3600)$/</x:v>
      </x:c>
      <x:c r="J397" s="4" t="str">
        <x:v>{"key":"areaAlarmType","value":"0"}</x:v>
      </x:c>
      <x:c r="K397" s="4" t="str">
        <x:v>用于和区域内实际有效目标数量进行比较的阈值</x:v>
      </x:c>
      <x:c r="L397" s="4" t="str">
        <x:v>默认/合法替代/空/非法类型；按已确认范围测min、max及相邻越界；保存回读并验证行为</x:v>
      </x:c>
      <x:c r="M397" s="4" t="str">
        <x:v>FLOW-009</x:v>
      </x:c>
      <x:c r="N397" s="4" t="str">
        <x:v>未执行</x:v>
      </x:c>
      <x:c r="O397" s="12" t="str"/>
    </x:row>
    <x:row r="398" ht="32" customHeight="1">
      <x:c r="A398" s="9" t="str">
        <x:v>PAR-0394</x:v>
      </x:c>
      <x:c r="B398" s="9" t="str">
        <x:v>组件</x:v>
      </x:c>
      <x:c r="C398" s="9" t="str">
        <x:v>actions:BA_00005</x:v>
      </x:c>
      <x:c r="D398" s="9" t="str">
        <x:v>区域告警判断</x:v>
      </x:c>
      <x:c r="E398" s="9" t="str">
        <x:v>param.areaLimitTargetType</x:v>
      </x:c>
      <x:c r="F398" s="9" t="str">
        <x:v>触发条件</x:v>
      </x:c>
      <x:c r="G398" s="9" t="str">
        <x:v>bm1688,cv186x,x86</x:v>
      </x:c>
      <x:c r="H398" s="9" t="str">
        <x:v>0</x:v>
      </x:c>
      <x:c r="I398" s="9" t="str">
        <x:v>枚举：0,1,2,3,4</x:v>
      </x:c>
      <x:c r="J398" s="9" t="str">
        <x:v>{"key":"areaAlarmType","value":"0"}</x:v>
      </x:c>
      <x:c r="K398" s="9" t="str">
        <x:v>区域中目标数限制类型</x:v>
      </x:c>
      <x:c r="L398" s="9" t="str">
        <x:v>依次选每个枚举；非法值；保存刷新；触发依赖字段</x:v>
      </x:c>
      <x:c r="M398" s="9" t="str">
        <x:v>FLOW-009</x:v>
      </x:c>
      <x:c r="N398" s="9" t="str">
        <x:v>未执行</x:v>
      </x:c>
      <x:c r="O398" s="12" t="str"/>
    </x:row>
    <x:row r="399" ht="32" customHeight="1">
      <x:c r="A399" s="4" t="str">
        <x:v>PAR-0395</x:v>
      </x:c>
      <x:c r="B399" s="4" t="str">
        <x:v>组件</x:v>
      </x:c>
      <x:c r="C399" s="4" t="str">
        <x:v>actions:BA_00005</x:v>
      </x:c>
      <x:c r="D399" s="4" t="str">
        <x:v>区域告警判断</x:v>
      </x:c>
      <x:c r="E399" s="4" t="str">
        <x:v>param.areaLimitDuration</x:v>
      </x:c>
      <x:c r="F399" s="4" t="str">
        <x:v>检测时间</x:v>
      </x:c>
      <x:c r="G399" s="4" t="str">
        <x:v>bm1688,cv186x,x86</x:v>
      </x:c>
      <x:c r="H399" s="4" t="str">
        <x:v>0</x:v>
      </x:c>
      <x:c r="I399" s="4" t="str">
        <x:v>min=; max=; regex=</x:v>
      </x:c>
      <x:c r="J399" s="4" t="str">
        <x:v>{"key":"areaAlarmType","value":"0"}</x:v>
      </x:c>
      <x:c r="K399" s="4" t="str">
        <x:v>检测时间：范围：1-3600000，注意时间单位</x:v>
      </x:c>
      <x:c r="L399" s="4" t="str">
        <x:v>默认/合法替代/空/非法类型；按已确认范围测min、max及相邻越界；保存回读并验证行为</x:v>
      </x:c>
      <x:c r="M399" s="4" t="str">
        <x:v>FLOW-009</x:v>
      </x:c>
      <x:c r="N399" s="4" t="str">
        <x:v>未执行</x:v>
      </x:c>
      <x:c r="O399" s="12" t="str"/>
    </x:row>
    <x:row r="400" ht="32" customHeight="1">
      <x:c r="A400" s="9" t="str">
        <x:v>PAR-0396</x:v>
      </x:c>
      <x:c r="B400" s="9" t="str">
        <x:v>组件</x:v>
      </x:c>
      <x:c r="C400" s="9" t="str">
        <x:v>actions:BA_00005</x:v>
      </x:c>
      <x:c r="D400" s="9" t="str">
        <x:v>区域告警判断</x:v>
      </x:c>
      <x:c r="E400" s="9" t="str">
        <x:v>param.areaCalcDuration</x:v>
      </x:c>
      <x:c r="F400" s="9" t="str">
        <x:v>数量上报间隔</x:v>
      </x:c>
      <x:c r="G400" s="9" t="str">
        <x:v>bm1688,cv186x,x86</x:v>
      </x:c>
      <x:c r="H400" s="9" t="str">
        <x:v>0</x:v>
      </x:c>
      <x:c r="I400" s="9" t="str">
        <x:v>min=; max=; regex=</x:v>
      </x:c>
      <x:c r="J400" s="9" t="str">
        <x:v>{"key":"areaAlarmType","value":"1"}</x:v>
      </x:c>
      <x:c r="K400" s="9" t="str">
        <x:v>数量上报间隔：范围：1-3600000，注意时间单位</x:v>
      </x:c>
      <x:c r="L400" s="9" t="str">
        <x:v>默认/合法替代/空/非法类型；按已确认范围测min、max及相邻越界；保存回读并验证行为</x:v>
      </x:c>
      <x:c r="M400" s="9" t="str">
        <x:v>FLOW-009</x:v>
      </x:c>
      <x:c r="N400" s="9" t="str">
        <x:v>未执行</x:v>
      </x:c>
      <x:c r="O400" s="12" t="str"/>
    </x:row>
    <x:row r="401" ht="32" customHeight="1">
      <x:c r="A401" s="4" t="str">
        <x:v>PAR-0397</x:v>
      </x:c>
      <x:c r="B401" s="4" t="str">
        <x:v>组件</x:v>
      </x:c>
      <x:c r="C401" s="4" t="str">
        <x:v>actions:BA_00005</x:v>
      </x:c>
      <x:c r="D401" s="4" t="str">
        <x:v>区域告警判断</x:v>
      </x:c>
      <x:c r="E401" s="4" t="str">
        <x:v>param.areaDuration</x:v>
      </x:c>
      <x:c r="F401" s="4" t="str">
        <x:v>检测时间</x:v>
      </x:c>
      <x:c r="G401" s="4" t="str">
        <x:v>bm1688,cv186x,x86</x:v>
      </x:c>
      <x:c r="H401" s="4" t="str">
        <x:v>0</x:v>
      </x:c>
      <x:c r="I401" s="4" t="str">
        <x:v>min=; max=; regex=</x:v>
      </x:c>
      <x:c r="J401" s="4" t="str">
        <x:v>{"key":"areaAlarmType","value":"4"}</x:v>
      </x:c>
      <x:c r="K401" s="4" t="str">
        <x:v>检测时间：范围：1-3600000，注意时间单位</x:v>
      </x:c>
      <x:c r="L401" s="4" t="str">
        <x:v>默认/合法替代/空/非法类型；按已确认范围测min、max及相邻越界；保存回读并验证行为</x:v>
      </x:c>
      <x:c r="M401" s="4" t="str">
        <x:v>FLOW-009</x:v>
      </x:c>
      <x:c r="N401" s="4" t="str">
        <x:v>未执行</x:v>
      </x:c>
      <x:c r="O401" s="12" t="str"/>
    </x:row>
    <x:row r="402" ht="32" customHeight="1">
      <x:c r="A402" s="9" t="str">
        <x:v>PAR-0398</x:v>
      </x:c>
      <x:c r="B402" s="9" t="str">
        <x:v>组件</x:v>
      </x:c>
      <x:c r="C402" s="9" t="str">
        <x:v>actions:BA_00005</x:v>
      </x:c>
      <x:c r="D402" s="9" t="str">
        <x:v>区域告警判断</x:v>
      </x:c>
      <x:c r="E402" s="9" t="str">
        <x:v>param.areaLimitDurationTimeType</x:v>
      </x:c>
      <x:c r="F402" s="9" t="str">
        <x:v>检测时间单位</x:v>
      </x:c>
      <x:c r="G402" s="9" t="str">
        <x:v>bm1688,cv186x,x86</x:v>
      </x:c>
      <x:c r="H402" s="9" t="str">
        <x:v>1000</x:v>
      </x:c>
      <x:c r="I402" s="9" t="str">
        <x:v>枚举：1,1000,60000,3600000</x:v>
      </x:c>
      <x:c r="J402" s="9" t="str">
        <x:v>{"key":"areaAlarmType","value":"0"}</x:v>
      </x:c>
      <x:c r="K402" s="9" t="str">
        <x:v>检测时间单位</x:v>
      </x:c>
      <x:c r="L402" s="9" t="str">
        <x:v>依次选每个枚举；非法值；保存刷新；触发依赖字段</x:v>
      </x:c>
      <x:c r="M402" s="9" t="str">
        <x:v>FLOW-009</x:v>
      </x:c>
      <x:c r="N402" s="9" t="str">
        <x:v>未执行</x:v>
      </x:c>
      <x:c r="O402" s="12" t="str"/>
    </x:row>
    <x:row r="403" ht="32" customHeight="1">
      <x:c r="A403" s="4" t="str">
        <x:v>PAR-0399</x:v>
      </x:c>
      <x:c r="B403" s="4" t="str">
        <x:v>组件</x:v>
      </x:c>
      <x:c r="C403" s="4" t="str">
        <x:v>actions:BA_00005</x:v>
      </x:c>
      <x:c r="D403" s="4" t="str">
        <x:v>区域告警判断</x:v>
      </x:c>
      <x:c r="E403" s="4" t="str">
        <x:v>param.areaDurationTimeType</x:v>
      </x:c>
      <x:c r="F403" s="4" t="str">
        <x:v>检测时间单位</x:v>
      </x:c>
      <x:c r="G403" s="4" t="str">
        <x:v>bm1688,cv186x,x86</x:v>
      </x:c>
      <x:c r="H403" s="4" t="str">
        <x:v>1000</x:v>
      </x:c>
      <x:c r="I403" s="4" t="str">
        <x:v>枚举：1,1000,60000,3600000</x:v>
      </x:c>
      <x:c r="J403" s="4" t="str">
        <x:v>{"key":"areaAlarmType","value":"4"}</x:v>
      </x:c>
      <x:c r="K403" s="4" t="str">
        <x:v>检测时间单位</x:v>
      </x:c>
      <x:c r="L403" s="4" t="str">
        <x:v>依次选每个枚举；非法值；保存刷新；触发依赖字段</x:v>
      </x:c>
      <x:c r="M403" s="4" t="str">
        <x:v>FLOW-009</x:v>
      </x:c>
      <x:c r="N403" s="4" t="str">
        <x:v>未执行</x:v>
      </x:c>
      <x:c r="O403" s="12" t="str"/>
    </x:row>
    <x:row r="404" ht="32" customHeight="1">
      <x:c r="A404" s="9" t="str">
        <x:v>PAR-0400</x:v>
      </x:c>
      <x:c r="B404" s="9" t="str">
        <x:v>组件</x:v>
      </x:c>
      <x:c r="C404" s="9" t="str">
        <x:v>actions:BA_00005</x:v>
      </x:c>
      <x:c r="D404" s="9" t="str">
        <x:v>区域告警判断</x:v>
      </x:c>
      <x:c r="E404" s="9" t="str">
        <x:v>param.areaCalcDurationTimeType</x:v>
      </x:c>
      <x:c r="F404" s="9" t="str">
        <x:v>数量上报间隔时间单位</x:v>
      </x:c>
      <x:c r="G404" s="9" t="str">
        <x:v>bm1688,cv186x,x86</x:v>
      </x:c>
      <x:c r="H404" s="9" t="str">
        <x:v>1000</x:v>
      </x:c>
      <x:c r="I404" s="9" t="str">
        <x:v>枚举：1,1000,60000,3600000</x:v>
      </x:c>
      <x:c r="J404" s="9" t="str">
        <x:v>{"key":"areaAlarmType","value":"1"}</x:v>
      </x:c>
      <x:c r="K404" s="9" t="str">
        <x:v>数量上报间隔时间单位</x:v>
      </x:c>
      <x:c r="L404" s="9" t="str">
        <x:v>依次选每个枚举；非法值；保存刷新；触发依赖字段</x:v>
      </x:c>
      <x:c r="M404" s="9" t="str">
        <x:v>FLOW-009</x:v>
      </x:c>
      <x:c r="N404" s="9" t="str">
        <x:v>未执行</x:v>
      </x:c>
      <x:c r="O404" s="12" t="str"/>
    </x:row>
    <x:row r="405" ht="32" customHeight="1">
      <x:c r="A405" s="4" t="str">
        <x:v>PAR-0401</x:v>
      </x:c>
      <x:c r="B405" s="4" t="str">
        <x:v>组件</x:v>
      </x:c>
      <x:c r="C405" s="4" t="str">
        <x:v>actions:BA_00005</x:v>
      </x:c>
      <x:c r="D405" s="4" t="str">
        <x:v>区域告警判断</x:v>
      </x:c>
      <x:c r="E405" s="4" t="str">
        <x:v>breakAreaType</x:v>
      </x:c>
      <x:c r="F405" s="4" t="str">
        <x:v>进出区域线方式</x:v>
      </x:c>
      <x:c r="G405" s="4" t="str">
        <x:v>bm1688,cv186x,x86</x:v>
      </x:c>
      <x:c r="H405" s="4" t="str">
        <x:v>101</x:v>
      </x:c>
      <x:c r="I405" s="4" t="str">
        <x:v>枚举：101</x:v>
      </x:c>
      <x:c r="J405" s="4" t="str">
        <x:v>{"key":"areaAlarmType","value":"2"}</x:v>
      </x:c>
      <x:c r="K405" s="4" t="str">
        <x:v>进出区域线方式</x:v>
      </x:c>
      <x:c r="L405" s="4" t="str">
        <x:v>依次选每个枚举；非法值；保存刷新；触发依赖字段</x:v>
      </x:c>
      <x:c r="M405" s="4" t="str">
        <x:v>FLOW-009</x:v>
      </x:c>
      <x:c r="N405" s="4" t="str">
        <x:v>未执行</x:v>
      </x:c>
      <x:c r="O405" s="12" t="str"/>
    </x:row>
    <x:row r="406" ht="32" customHeight="1">
      <x:c r="A406" s="9" t="str">
        <x:v>PAR-0402</x:v>
      </x:c>
      <x:c r="B406" s="9" t="str">
        <x:v>组件</x:v>
      </x:c>
      <x:c r="C406" s="9" t="str">
        <x:v>actions:BA_00005</x:v>
      </x:c>
      <x:c r="D406" s="9" t="str">
        <x:v>区域告警判断</x:v>
      </x:c>
      <x:c r="E406" s="9" t="str">
        <x:v>param.trippingWireType</x:v>
      </x:c>
      <x:c r="F406" s="9" t="str">
        <x:v>绊线类型</x:v>
      </x:c>
      <x:c r="G406" s="9" t="str">
        <x:v>bm1688,cv186x,x86</x:v>
      </x:c>
      <x:c r="H406" s="9" t="str">
        <x:v>1</x:v>
      </x:c>
      <x:c r="I406" s="9" t="str">
        <x:v>枚举：1,2</x:v>
      </x:c>
      <x:c r="J406" s="9" t="str">
        <x:v>{"key":"areaAlarmType","value":"2"}</x:v>
      </x:c>
      <x:c r="K406" s="9" t="str">
        <x:v>告警条件：目标过线的数量</x:v>
      </x:c>
      <x:c r="L406" s="9" t="str">
        <x:v>依次选每个枚举；非法值；保存刷新；触发依赖字段</x:v>
      </x:c>
      <x:c r="M406" s="9" t="str">
        <x:v>FLOW-009</x:v>
      </x:c>
      <x:c r="N406" s="9" t="str">
        <x:v>未执行</x:v>
      </x:c>
      <x:c r="O406" s="12" t="str"/>
    </x:row>
    <x:row r="407" ht="32" customHeight="1">
      <x:c r="A407" s="4" t="str">
        <x:v>PAR-0403</x:v>
      </x:c>
      <x:c r="B407" s="4" t="str">
        <x:v>组件</x:v>
      </x:c>
      <x:c r="C407" s="4" t="str">
        <x:v>actions:BA_00005</x:v>
      </x:c>
      <x:c r="D407" s="4" t="str">
        <x:v>区域告警判断</x:v>
      </x:c>
      <x:c r="E407" s="4" t="str">
        <x:v>detectBreakAreaType</x:v>
      </x:c>
      <x:c r="F407" s="4" t="str">
        <x:v>统计类进出区域线方式</x:v>
      </x:c>
      <x:c r="G407" s="4" t="str">
        <x:v>bm1688,cv186x,x86</x:v>
      </x:c>
      <x:c r="H407" s="4" t="str">
        <x:v>0</x:v>
      </x:c>
      <x:c r="I407" s="4" t="str">
        <x:v>枚举：0</x:v>
      </x:c>
      <x:c r="J407" s="4" t="str">
        <x:v>{"key":"areaAlarmType","value":"5"}</x:v>
      </x:c>
      <x:c r="K407" s="4" t="str">
        <x:v>统计类进出区域线方式</x:v>
      </x:c>
      <x:c r="L407" s="4" t="str">
        <x:v>依次选每个枚举；非法值；保存刷新；触发依赖字段</x:v>
      </x:c>
      <x:c r="M407" s="4" t="str">
        <x:v>FLOW-009</x:v>
      </x:c>
      <x:c r="N407" s="4" t="str">
        <x:v>未执行</x:v>
      </x:c>
      <x:c r="O407" s="12" t="str"/>
    </x:row>
    <x:row r="408" ht="32" customHeight="1">
      <x:c r="A408" s="9" t="str">
        <x:v>PAR-0404</x:v>
      </x:c>
      <x:c r="B408" s="9" t="str">
        <x:v>组件</x:v>
      </x:c>
      <x:c r="C408" s="9" t="str">
        <x:v>actions:BA_00005</x:v>
      </x:c>
      <x:c r="D408" s="9" t="str">
        <x:v>区域告警判断</x:v>
      </x:c>
      <x:c r="E408" s="9" t="str">
        <x:v>countBreakAreaType</x:v>
      </x:c>
      <x:c r="F408" s="9" t="str">
        <x:v>统计类进出区域线方式</x:v>
      </x:c>
      <x:c r="G408" s="9" t="str">
        <x:v>bm1688,cv186x,x86</x:v>
      </x:c>
      <x:c r="H408" s="9" t="str">
        <x:v>0</x:v>
      </x:c>
      <x:c r="I408" s="9" t="str">
        <x:v>枚举：0,103</x:v>
      </x:c>
      <x:c r="J408" s="9" t="str">
        <x:v>{"key":"areaAlarmType","value":"1"}</x:v>
      </x:c>
      <x:c r="K408" s="9" t="str">
        <x:v>统计类进出区域线方式</x:v>
      </x:c>
      <x:c r="L408" s="9" t="str">
        <x:v>依次选每个枚举；非法值；保存刷新；触发依赖字段</x:v>
      </x:c>
      <x:c r="M408" s="9" t="str">
        <x:v>FLOW-009</x:v>
      </x:c>
      <x:c r="N408" s="9" t="str">
        <x:v>未执行</x:v>
      </x:c>
      <x:c r="O408" s="12" t="str"/>
    </x:row>
    <x:row r="409" ht="32" customHeight="1">
      <x:c r="A409" s="4" t="str">
        <x:v>PAR-0405</x:v>
      </x:c>
      <x:c r="B409" s="4" t="str">
        <x:v>组件</x:v>
      </x:c>
      <x:c r="C409" s="4" t="str">
        <x:v>actions:BA_00005</x:v>
      </x:c>
      <x:c r="D409" s="4" t="str">
        <x:v>区域告警判断</x:v>
      </x:c>
      <x:c r="E409" s="4" t="str">
        <x:v>targetCountChange</x:v>
      </x:c>
      <x:c r="F409" s="4" t="str">
        <x:v>目标数量变化状态</x:v>
      </x:c>
      <x:c r="G409" s="4" t="str">
        <x:v>bm1688,cv186x,x86</x:v>
      </x:c>
      <x:c r="H409" s="4" t="str">
        <x:v>0</x:v>
      </x:c>
      <x:c r="I409" s="4" t="str">
        <x:v>min=; max=; regex=</x:v>
      </x:c>
      <x:c r="J409" s="4" t="str">
        <x:v>{"key":"areaAlarmType","value":"1"}</x:v>
      </x:c>
      <x:c r="K409" s="4" t="str">
        <x:v>打开后，目标数量变化时立即上报，即便没有满足时间间隔条件</x:v>
      </x:c>
      <x:c r="L409" s="4" t="str">
        <x:v>默认/合法替代/空/非法类型；按已确认范围测min、max及相邻越界；保存回读并验证行为</x:v>
      </x:c>
      <x:c r="M409" s="4" t="str">
        <x:v>FLOW-009</x:v>
      </x:c>
      <x:c r="N409" s="4" t="str">
        <x:v>未执行</x:v>
      </x:c>
      <x:c r="O409" s="12" t="str"/>
    </x:row>
    <x:row r="410" ht="32" customHeight="1">
      <x:c r="A410" s="9" t="str">
        <x:v>PAR-0406</x:v>
      </x:c>
      <x:c r="B410" s="9" t="str">
        <x:v>组件</x:v>
      </x:c>
      <x:c r="C410" s="9" t="str">
        <x:v>actions:BA_00005</x:v>
      </x:c>
      <x:c r="D410" s="9" t="str">
        <x:v>区域告警判断</x:v>
      </x:c>
      <x:c r="E410" s="9" t="str">
        <x:v>durationBreakAreaType</x:v>
      </x:c>
      <x:c r="F410" s="9" t="str">
        <x:v>统计类进出区域线方式</x:v>
      </x:c>
      <x:c r="G410" s="9" t="str">
        <x:v>bm1688,cv186x,x86</x:v>
      </x:c>
      <x:c r="H410" s="9" t="str">
        <x:v>0</x:v>
      </x:c>
      <x:c r="I410" s="9" t="str">
        <x:v>枚举：0,2</x:v>
      </x:c>
      <x:c r="J410" s="9" t="str">
        <x:v>{"key":"areaAlarmType","value":"4"}</x:v>
      </x:c>
      <x:c r="K410" s="9" t="str">
        <x:v>统计类进出区域线方式</x:v>
      </x:c>
      <x:c r="L410" s="9" t="str">
        <x:v>依次选每个枚举；非法值；保存刷新；触发依赖字段</x:v>
      </x:c>
      <x:c r="M410" s="9" t="str">
        <x:v>FLOW-009</x:v>
      </x:c>
      <x:c r="N410" s="9" t="str">
        <x:v>未执行</x:v>
      </x:c>
      <x:c r="O410" s="12" t="str"/>
    </x:row>
    <x:row r="411" ht="32" customHeight="1">
      <x:c r="A411" s="4" t="str">
        <x:v>PAR-0407</x:v>
      </x:c>
      <x:c r="B411" s="4" t="str">
        <x:v>组件</x:v>
      </x:c>
      <x:c r="C411" s="4" t="str">
        <x:v>actions:BA_00005</x:v>
      </x:c>
      <x:c r="D411" s="4" t="str">
        <x:v>区域告警判断</x:v>
      </x:c>
      <x:c r="E411" s="4" t="str">
        <x:v>param.targetCalcType</x:v>
      </x:c>
      <x:c r="F411" s="4" t="str">
        <x:v>目标统计方式</x:v>
      </x:c>
      <x:c r="G411" s="4" t="str">
        <x:v>bm1688,cv186x,x86</x:v>
      </x:c>
      <x:c r="H411" s="4" t="str">
        <x:v>0</x:v>
      </x:c>
      <x:c r="I411" s="4" t="str">
        <x:v>枚举：0,1</x:v>
      </x:c>
      <x:c r="J411" s="4" t="str">
        <x:v>{"key":"areaAlarmType","value":"1"}</x:v>
      </x:c>
      <x:c r="K411" s="4" t="str">
        <x:v>目标统计方式</x:v>
      </x:c>
      <x:c r="L411" s="4" t="str">
        <x:v>依次选每个枚举；非法值；保存刷新；触发依赖字段</x:v>
      </x:c>
      <x:c r="M411" s="4" t="str">
        <x:v>FLOW-009</x:v>
      </x:c>
      <x:c r="N411" s="4" t="str">
        <x:v>未执行</x:v>
      </x:c>
      <x:c r="O411" s="12" t="str"/>
    </x:row>
    <x:row r="412" ht="32" customHeight="1">
      <x:c r="A412" s="9" t="str">
        <x:v>PAR-0408</x:v>
      </x:c>
      <x:c r="B412" s="9" t="str">
        <x:v>组件</x:v>
      </x:c>
      <x:c r="C412" s="9" t="str">
        <x:v>actions:BA_00005</x:v>
      </x:c>
      <x:c r="D412" s="9" t="str">
        <x:v>区域告警判断</x:v>
      </x:c>
      <x:c r="E412" s="9" t="str">
        <x:v>param.retroDirect</x:v>
      </x:c>
      <x:c r="F412" s="9" t="str">
        <x:v>目标逆行告警方向</x:v>
      </x:c>
      <x:c r="G412" s="9" t="str">
        <x:v>bm1688,cv186x,x86</x:v>
      </x:c>
      <x:c r="H412" s="9" t="str">
        <x:v>0</x:v>
      </x:c>
      <x:c r="I412" s="9" t="str">
        <x:v>枚举：0,1</x:v>
      </x:c>
      <x:c r="J412" s="9" t="str">
        <x:v>{"key":"areaAlarmType","value":"3"}</x:v>
      </x:c>
      <x:c r="K412" s="9" t="str">
        <x:v>目标逆行告警方向</x:v>
      </x:c>
      <x:c r="L412" s="9" t="str">
        <x:v>依次选每个枚举；非法值；保存刷新；触发依赖字段</x:v>
      </x:c>
      <x:c r="M412" s="9" t="str">
        <x:v>FLOW-009</x:v>
      </x:c>
      <x:c r="N412" s="9" t="str">
        <x:v>未执行</x:v>
      </x:c>
      <x:c r="O412" s="12" t="str"/>
    </x:row>
    <x:row r="413" ht="32" customHeight="1">
      <x:c r="A413" s="4" t="str">
        <x:v>PAR-0409</x:v>
      </x:c>
      <x:c r="B413" s="4" t="str">
        <x:v>组件</x:v>
      </x:c>
      <x:c r="C413" s="4" t="str">
        <x:v>actions:BA_00005</x:v>
      </x:c>
      <x:c r="D413" s="4" t="str">
        <x:v>区域告警判断</x:v>
      </x:c>
      <x:c r="E413" s="4" t="str">
        <x:v>param.retroDistance</x:v>
      </x:c>
      <x:c r="F413" s="4" t="str">
        <x:v>逆行距离： Y轴移动距离(相对值) </x:v>
      </x:c>
      <x:c r="G413" s="4" t="str">
        <x:v>bm1688,cv186x,x86</x:v>
      </x:c>
      <x:c r="H413" s="4" t="str">
        <x:v>0.05</x:v>
      </x:c>
      <x:c r="I413" s="4" t="str">
        <x:v>min=; max=; regex=</x:v>
      </x:c>
      <x:c r="J413" s="4" t="str">
        <x:v>{"key":"areaAlarmType","value":"3"}</x:v>
      </x:c>
      <x:c r="K413" s="4" t="str">
        <x:v>逆行距离：Y轴移动距离(相对值) ，范围：0.00~1.0，默认：0.05。</x:v>
      </x:c>
      <x:c r="L413" s="4" t="str">
        <x:v>默认/合法替代/空/非法类型；按已确认范围测min、max及相邻越界；保存回读并验证行为</x:v>
      </x:c>
      <x:c r="M413" s="4" t="str">
        <x:v>FLOW-009</x:v>
      </x:c>
      <x:c r="N413" s="4" t="str">
        <x:v>未执行</x:v>
      </x:c>
      <x:c r="O413" s="12" t="str"/>
    </x:row>
    <x:row r="414" ht="40" customHeight="1">
      <x:c r="A414" s="9" t="str">
        <x:v>PAR-0410</x:v>
      </x:c>
      <x:c r="B414" s="9" t="str">
        <x:v>组件</x:v>
      </x:c>
      <x:c r="C414" s="9" t="str">
        <x:v>actions:BA_00005</x:v>
      </x:c>
      <x:c r="D414" s="9" t="str">
        <x:v>区域告警判断</x:v>
      </x:c>
      <x:c r="E414" s="9" t="str">
        <x:v>areaLimitTargetCount</x:v>
      </x:c>
      <x:c r="F414" s="9" t="str">
        <x:v>区域中的目标数</x:v>
      </x:c>
      <x:c r="G414" s="9" t="str">
        <x:v>bm1688,cv186x,x86</x:v>
      </x:c>
      <x:c r="H414" s="9" t="str">
        <x:v>0</x:v>
      </x:c>
      <x:c r="I414" s="9" t="str">
        <x:v>min=; max=; regex=/^([0-9]|[1-9][0-9]|[1-9][0-9][0-9]|[1-2][0-9][0-9][0-9]|[3][0-5][0-9][0-9]|3600)$/</x:v>
      </x:c>
      <x:c r="J414" s="9" t="str">
        <x:v>{"key":"areaAlarmType","value":"6"}</x:v>
      </x:c>
      <x:c r="K414" s="9" t="str">
        <x:v>区域中的目标数</x:v>
      </x:c>
      <x:c r="L414" s="9" t="str">
        <x:v>默认/合法替代/空/非法类型；按已确认范围测min、max及相邻越界；保存回读并验证行为</x:v>
      </x:c>
      <x:c r="M414" s="9" t="str">
        <x:v>FLOW-009</x:v>
      </x:c>
      <x:c r="N414" s="9" t="str">
        <x:v>未执行</x:v>
      </x:c>
      <x:c r="O414" s="12" t="str"/>
    </x:row>
    <x:row r="415" ht="32" customHeight="1">
      <x:c r="A415" s="4" t="str">
        <x:v>PAR-0411</x:v>
      </x:c>
      <x:c r="B415" s="4" t="str">
        <x:v>组件</x:v>
      </x:c>
      <x:c r="C415" s="4" t="str">
        <x:v>actions:BA_00005</x:v>
      </x:c>
      <x:c r="D415" s="4" t="str">
        <x:v>区域告警判断</x:v>
      </x:c>
      <x:c r="E415" s="4" t="str">
        <x:v>areaLimitTargetType</x:v>
      </x:c>
      <x:c r="F415" s="4" t="str">
        <x:v>区域中目标数限制类型</x:v>
      </x:c>
      <x:c r="G415" s="4" t="str">
        <x:v>bm1688,cv186x,x86</x:v>
      </x:c>
      <x:c r="H415" s="4" t="str">
        <x:v>0</x:v>
      </x:c>
      <x:c r="I415" s="4" t="str">
        <x:v>枚举：0,1,2,3,4</x:v>
      </x:c>
      <x:c r="J415" s="4" t="str">
        <x:v>{"key":"areaAlarmType","value":"6"}</x:v>
      </x:c>
      <x:c r="K415" s="4" t="str">
        <x:v>区域中目标数限制类型</x:v>
      </x:c>
      <x:c r="L415" s="4" t="str">
        <x:v>依次选每个枚举；非法值；保存刷新；触发依赖字段</x:v>
      </x:c>
      <x:c r="M415" s="4" t="str">
        <x:v>FLOW-009</x:v>
      </x:c>
      <x:c r="N415" s="4" t="str">
        <x:v>未执行</x:v>
      </x:c>
      <x:c r="O415" s="12" t="str"/>
    </x:row>
    <x:row r="416" ht="32" customHeight="1">
      <x:c r="A416" s="9" t="str">
        <x:v>PAR-0412</x:v>
      </x:c>
      <x:c r="B416" s="9" t="str">
        <x:v>组件</x:v>
      </x:c>
      <x:c r="C416" s="9" t="str">
        <x:v>actions:BA_00005</x:v>
      </x:c>
      <x:c r="D416" s="9" t="str">
        <x:v>区域告警判断</x:v>
      </x:c>
      <x:c r="E416" s="9" t="str">
        <x:v>areaLimitDuration</x:v>
      </x:c>
      <x:c r="F416" s="9" t="str">
        <x:v>检测时间</x:v>
      </x:c>
      <x:c r="G416" s="9" t="str">
        <x:v>bm1688,cv186x,x86</x:v>
      </x:c>
      <x:c r="H416" s="9" t="str">
        <x:v>0</x:v>
      </x:c>
      <x:c r="I416" s="9" t="str">
        <x:v>min=; max=; regex=</x:v>
      </x:c>
      <x:c r="J416" s="9" t="str">
        <x:v>{"key":"areaAlarmType","value":"6"}</x:v>
      </x:c>
      <x:c r="K416" s="9" t="str">
        <x:v>检测时间：范围：1-3600000，注意时间单位</x:v>
      </x:c>
      <x:c r="L416" s="9" t="str">
        <x:v>默认/合法替代/空/非法类型；按已确认范围测min、max及相邻越界；保存回读并验证行为</x:v>
      </x:c>
      <x:c r="M416" s="9" t="str">
        <x:v>FLOW-009</x:v>
      </x:c>
      <x:c r="N416" s="9" t="str">
        <x:v>未执行</x:v>
      </x:c>
      <x:c r="O416" s="12" t="str"/>
    </x:row>
    <x:row r="417" ht="32" customHeight="1">
      <x:c r="A417" s="4" t="str">
        <x:v>PAR-0413</x:v>
      </x:c>
      <x:c r="B417" s="4" t="str">
        <x:v>组件</x:v>
      </x:c>
      <x:c r="C417" s="4" t="str">
        <x:v>actions:BA_00005</x:v>
      </x:c>
      <x:c r="D417" s="4" t="str">
        <x:v>区域告警判断</x:v>
      </x:c>
      <x:c r="E417" s="4" t="str">
        <x:v>areaDurationTimeType</x:v>
      </x:c>
      <x:c r="F417" s="4" t="str">
        <x:v>检测时间单位</x:v>
      </x:c>
      <x:c r="G417" s="4" t="str">
        <x:v>bm1688,cv186x,x86</x:v>
      </x:c>
      <x:c r="H417" s="4" t="str">
        <x:v>1000</x:v>
      </x:c>
      <x:c r="I417" s="4" t="str">
        <x:v>枚举：1,1000,60000,3600000</x:v>
      </x:c>
      <x:c r="J417" s="4" t="str">
        <x:v>{"key":"areaAlarmType","value":"6"}</x:v>
      </x:c>
      <x:c r="K417" s="4" t="str">
        <x:v>检测时间单位</x:v>
      </x:c>
      <x:c r="L417" s="4" t="str">
        <x:v>依次选每个枚举；非法值；保存刷新；触发依赖字段</x:v>
      </x:c>
      <x:c r="M417" s="4" t="str">
        <x:v>FLOW-009</x:v>
      </x:c>
      <x:c r="N417" s="4" t="str">
        <x:v>未执行</x:v>
      </x:c>
      <x:c r="O417" s="12" t="str"/>
    </x:row>
    <x:row r="418" ht="40" customHeight="1">
      <x:c r="A418" s="9" t="str">
        <x:v>PAR-0414</x:v>
      </x:c>
      <x:c r="B418" s="9" t="str">
        <x:v>组件</x:v>
      </x:c>
      <x:c r="C418" s="9" t="str">
        <x:v>actions:BA_10003</x:v>
      </x:c>
      <x:c r="D418" s="9" t="str">
        <x:v>灵敏度计算-计数</x:v>
      </x:c>
      <x:c r="E418" s="9" t="str">
        <x:v>param.senHitCount</x:v>
      </x:c>
      <x:c r="F418" s="9" t="str">
        <x:v>灵敏度计算命中数</x:v>
      </x:c>
      <x:c r="G418" s="9" t="str">
        <x:v>bm1688,cv186x,x86</x:v>
      </x:c>
      <x:c r="H418" s="9" t="str">
        <x:v>5</x:v>
      </x:c>
      <x:c r="I418" s="9" t="str">
        <x:v>min=; max=; regex=/^([1-9]|[1-9][0-9]|[1-9][0-9][0-9]|[1-2][0-9][0-9][0-9]|[3][0-5][0-9][0-9]|3600)$/</x:v>
      </x:c>
      <x:c r="J418" s="9" t="str"/>
      <x:c r="K418" s="9" t="str">
        <x:v>灵敏度计算命中数，范围：1-总数。</x:v>
      </x:c>
      <x:c r="L418" s="9" t="str">
        <x:v>默认/合法替代/空/非法类型；按已确认范围测min、max及相邻越界；保存回读并验证行为</x:v>
      </x:c>
      <x:c r="M418" s="9" t="str">
        <x:v>FLOW-009</x:v>
      </x:c>
      <x:c r="N418" s="9" t="str">
        <x:v>未执行</x:v>
      </x:c>
      <x:c r="O418" s="12" t="str"/>
    </x:row>
    <x:row r="419" ht="32" customHeight="1">
      <x:c r="A419" s="4" t="str">
        <x:v>PAR-0415</x:v>
      </x:c>
      <x:c r="B419" s="4" t="str">
        <x:v>组件</x:v>
      </x:c>
      <x:c r="C419" s="4" t="str">
        <x:v>actions:BA_10003</x:v>
      </x:c>
      <x:c r="D419" s="4" t="str">
        <x:v>灵敏度计算-计数</x:v>
      </x:c>
      <x:c r="E419" s="4" t="str">
        <x:v>param.senTotalCount</x:v>
      </x:c>
      <x:c r="F419" s="4" t="str">
        <x:v>灵敏度计算总数</x:v>
      </x:c>
      <x:c r="G419" s="4" t="str">
        <x:v>bm1688,cv186x,x86</x:v>
      </x:c>
      <x:c r="H419" s="4" t="str">
        <x:v>10</x:v>
      </x:c>
      <x:c r="I419" s="4" t="str">
        <x:v>min=; max=; regex=</x:v>
      </x:c>
      <x:c r="J419" s="4" t="str"/>
      <x:c r="K419" s="4" t="str">
        <x:v>灵敏度计算总数</x:v>
      </x:c>
      <x:c r="L419" s="4" t="str">
        <x:v>默认/合法替代/空/非法类型；按已确认范围测min、max及相邻越界；保存回读并验证行为</x:v>
      </x:c>
      <x:c r="M419" s="4" t="str">
        <x:v>FLOW-009</x:v>
      </x:c>
      <x:c r="N419" s="4" t="str">
        <x:v>未执行</x:v>
      </x:c>
      <x:c r="O419" s="12" t="str"/>
    </x:row>
    <x:row r="420" ht="32" customHeight="1">
      <x:c r="A420" s="9" t="str">
        <x:v>PAR-0416</x:v>
      </x:c>
      <x:c r="B420" s="9" t="str">
        <x:v>组件</x:v>
      </x:c>
      <x:c r="C420" s="9" t="str">
        <x:v>actions:BA_90001</x:v>
      </x:c>
      <x:c r="D420" s="9" t="str">
        <x:v>目标判断</x:v>
      </x:c>
      <x:c r="E420" s="9" t="str">
        <x:v>condition</x:v>
      </x:c>
      <x:c r="F420" s="9" t="str">
        <x:v>条件配置</x:v>
      </x:c>
      <x:c r="G420" s="9" t="str">
        <x:v>bm1688,cv186x,x86</x:v>
      </x:c>
      <x:c r="H420" s="9" t="str"/>
      <x:c r="I420" s="9" t="str">
        <x:v>min=; max=; regex=</x:v>
      </x:c>
      <x:c r="J420" s="9" t="str"/>
      <x:c r="K420" s="9" t="str">
        <x:v>配置条件使其结果为真，并运行下面的动作</x:v>
      </x:c>
      <x:c r="L420" s="9" t="str">
        <x:v>默认/合法替代/空/非法类型；按已确认范围测min、max及相邻越界；保存回读并验证行为</x:v>
      </x:c>
      <x:c r="M420" s="9" t="str">
        <x:v>FLOW-009</x:v>
      </x:c>
      <x:c r="N420" s="9" t="str">
        <x:v>未执行</x:v>
      </x:c>
      <x:c r="O420" s="12" t="str"/>
    </x:row>
    <x:row r="421" ht="32" customHeight="1">
      <x:c r="A421" s="4" t="str">
        <x:v>PAR-0417</x:v>
      </x:c>
      <x:c r="B421" s="4" t="str">
        <x:v>组件</x:v>
      </x:c>
      <x:c r="C421" s="4" t="str">
        <x:v>actions:DA_00001</x:v>
      </x:c>
      <x:c r="D421" s="4" t="str">
        <x:v>检测视觉大模型</x:v>
      </x:c>
      <x:c r="E421" s="4" t="str">
        <x:v>atomicCode</x:v>
      </x:c>
      <x:c r="F421" s="4" t="str">
        <x:v>选择原子模型</x:v>
      </x:c>
      <x:c r="G421" s="4" t="str">
        <x:v>bm1688,cv186x,x86</x:v>
      </x:c>
      <x:c r="H421" s="4" t="str"/>
      <x:c r="I421" s="4" t="str">
        <x:v>min=; max=; regex=</x:v>
      </x:c>
      <x:c r="J421" s="4" t="str"/>
      <x:c r="K421" s="4" t="str">
        <x:v>选择原子模型</x:v>
      </x:c>
      <x:c r="L421" s="4" t="str">
        <x:v>默认/合法替代/空/非法类型；按已确认范围测min、max及相邻越界；保存回读并验证行为</x:v>
      </x:c>
      <x:c r="M421" s="4" t="str">
        <x:v>FLOW-009</x:v>
      </x:c>
      <x:c r="N421" s="4" t="str">
        <x:v>未执行</x:v>
      </x:c>
      <x:c r="O421" s="12" t="str"/>
    </x:row>
    <x:row r="422" ht="32" customHeight="1">
      <x:c r="A422" s="9" t="str">
        <x:v>PAR-0418</x:v>
      </x:c>
      <x:c r="B422" s="9" t="str">
        <x:v>组件</x:v>
      </x:c>
      <x:c r="C422" s="9" t="str">
        <x:v>actions:DA_00001</x:v>
      </x:c>
      <x:c r="D422" s="9" t="str">
        <x:v>检测视觉大模型</x:v>
      </x:c>
      <x:c r="E422" s="9" t="str">
        <x:v>fps</x:v>
      </x:c>
      <x:c r="F422" s="9" t="str">
        <x:v>取帧频率</x:v>
      </x:c>
      <x:c r="G422" s="9" t="str">
        <x:v>bm1688,cv186x,x86</x:v>
      </x:c>
      <x:c r="H422" s="9" t="str">
        <x:v>1</x:v>
      </x:c>
      <x:c r="I422" s="9" t="str">
        <x:v>min=; max=; regex=</x:v>
      </x:c>
      <x:c r="J422" s="9" t="str"/>
      <x:c r="K422" s="9" t="str">
        <x:v>自定义帧率，不要高于上游帧率。范围：0.01~1000，默认：1。</x:v>
      </x:c>
      <x:c r="L422" s="9" t="str">
        <x:v>默认/合法替代/空/非法类型；按已确认范围测min、max及相邻越界；保存回读并验证行为</x:v>
      </x:c>
      <x:c r="M422" s="9" t="str">
        <x:v>FLOW-009</x:v>
      </x:c>
      <x:c r="N422" s="9" t="str">
        <x:v>未执行</x:v>
      </x:c>
      <x:c r="O422" s="12" t="str"/>
    </x:row>
    <x:row r="423" ht="32" customHeight="1">
      <x:c r="A423" s="4" t="str">
        <x:v>PAR-0419</x:v>
      </x:c>
      <x:c r="B423" s="4" t="str">
        <x:v>组件</x:v>
      </x:c>
      <x:c r="C423" s="4" t="str">
        <x:v>actions:DA_00001</x:v>
      </x:c>
      <x:c r="D423" s="4" t="str">
        <x:v>检测视觉大模型</x:v>
      </x:c>
      <x:c r="E423" s="4" t="str">
        <x:v>keywords</x:v>
      </x:c>
      <x:c r="F423" s="4" t="str">
        <x:v>提示词</x:v>
      </x:c>
      <x:c r="G423" s="4" t="str">
        <x:v>bm1688,cv186x,x86</x:v>
      </x:c>
      <x:c r="H423" s="4" t="str"/>
      <x:c r="I423" s="4" t="str">
        <x:v>min=; max=; regex=</x:v>
      </x:c>
      <x:c r="J423" s="4" t="str"/>
      <x:c r="K423" s="4" t="str">
        <x:v>多个提示词可以使用英文句号隔开</x:v>
      </x:c>
      <x:c r="L423" s="4" t="str">
        <x:v>默认/合法替代/空/非法类型；按已确认范围测min、max及相邻越界；保存回读并验证行为</x:v>
      </x:c>
      <x:c r="M423" s="4" t="str">
        <x:v>FLOW-009</x:v>
      </x:c>
      <x:c r="N423" s="4" t="str">
        <x:v>未执行</x:v>
      </x:c>
      <x:c r="O423" s="12" t="str"/>
    </x:row>
    <x:row r="424" ht="32" customHeight="1">
      <x:c r="A424" s="9" t="str">
        <x:v>PAR-0420</x:v>
      </x:c>
      <x:c r="B424" s="9" t="str">
        <x:v>组件</x:v>
      </x:c>
      <x:c r="C424" s="9" t="str">
        <x:v>actions:DA_00001</x:v>
      </x:c>
      <x:c r="D424" s="9" t="str">
        <x:v>检测视觉大模型</x:v>
      </x:c>
      <x:c r="E424" s="9" t="str">
        <x:v>aiParam.box.confidence</x:v>
      </x:c>
      <x:c r="F424" s="9" t="str">
        <x:v>目标置信度</x:v>
      </x:c>
      <x:c r="G424" s="9" t="str">
        <x:v>bm1688,cv186x,x86</x:v>
      </x:c>
      <x:c r="H424" s="9" t="str">
        <x:v>0.25</x:v>
      </x:c>
      <x:c r="I424" s="9" t="str">
        <x:v>min=; max=; regex=</x:v>
      </x:c>
      <x:c r="J424" s="9" t="str"/>
      <x:c r="K424" s="9" t="str">
        <x:v>目标置信度，范围：0.0~1.0，限小数点后3位</x:v>
      </x:c>
      <x:c r="L424" s="9" t="str">
        <x:v>默认/合法替代/空/非法类型；按已确认范围测min、max及相邻越界；保存回读并验证行为</x:v>
      </x:c>
      <x:c r="M424" s="9" t="str">
        <x:v>FLOW-009</x:v>
      </x:c>
      <x:c r="N424" s="9" t="str">
        <x:v>未执行</x:v>
      </x:c>
      <x:c r="O424" s="12" t="str"/>
    </x:row>
    <x:row r="425" ht="32" customHeight="1">
      <x:c r="A425" s="4" t="str">
        <x:v>PAR-0421</x:v>
      </x:c>
      <x:c r="B425" s="4" t="str">
        <x:v>组件</x:v>
      </x:c>
      <x:c r="C425" s="4" t="str">
        <x:v>actions:DA_00001</x:v>
      </x:c>
      <x:c r="D425" s="4" t="str">
        <x:v>检测视觉大模型</x:v>
      </x:c>
      <x:c r="E425" s="4" t="str">
        <x:v>aiParam.text.confidence</x:v>
      </x:c>
      <x:c r="F425" s="4" t="str">
        <x:v>文字置信度</x:v>
      </x:c>
      <x:c r="G425" s="4" t="str">
        <x:v>bm1688,cv186x,x86</x:v>
      </x:c>
      <x:c r="H425" s="4" t="str">
        <x:v>0.3</x:v>
      </x:c>
      <x:c r="I425" s="4" t="str">
        <x:v>min=; max=; regex=</x:v>
      </x:c>
      <x:c r="J425" s="4" t="str"/>
      <x:c r="K425" s="4" t="str">
        <x:v>文字置信度，范围：0.0~1.0，限小数点后3位</x:v>
      </x:c>
      <x:c r="L425" s="4" t="str">
        <x:v>默认/合法替代/空/非法类型；按已确认范围测min、max及相邻越界；保存回读并验证行为</x:v>
      </x:c>
      <x:c r="M425" s="4" t="str">
        <x:v>FLOW-009</x:v>
      </x:c>
      <x:c r="N425" s="4" t="str">
        <x:v>未执行</x:v>
      </x:c>
      <x:c r="O425" s="12" t="str"/>
    </x:row>
    <x:row r="426" ht="32" customHeight="1">
      <x:c r="A426" s="9" t="str">
        <x:v>PAR-0422</x:v>
      </x:c>
      <x:c r="B426" s="9" t="str">
        <x:v>组件</x:v>
      </x:c>
      <x:c r="C426" s="9" t="str">
        <x:v>actions:DA_00002</x:v>
      </x:c>
      <x:c r="D426" s="9" t="str">
        <x:v>分割视觉大模型</x:v>
      </x:c>
      <x:c r="E426" s="9" t="str">
        <x:v>atomicCode</x:v>
      </x:c>
      <x:c r="F426" s="9" t="str">
        <x:v>选择原子模型</x:v>
      </x:c>
      <x:c r="G426" s="9" t="str">
        <x:v>bm1688,cv186x,x86</x:v>
      </x:c>
      <x:c r="H426" s="9" t="str"/>
      <x:c r="I426" s="9" t="str">
        <x:v>min=; max=; regex=</x:v>
      </x:c>
      <x:c r="J426" s="9" t="str"/>
      <x:c r="K426" s="9" t="str">
        <x:v>选择原子模型</x:v>
      </x:c>
      <x:c r="L426" s="9" t="str">
        <x:v>默认/合法替代/空/非法类型；按已确认范围测min、max及相邻越界；保存回读并验证行为</x:v>
      </x:c>
      <x:c r="M426" s="9" t="str">
        <x:v>FLOW-009</x:v>
      </x:c>
      <x:c r="N426" s="9" t="str">
        <x:v>未执行</x:v>
      </x:c>
      <x:c r="O426" s="12" t="str"/>
    </x:row>
    <x:row r="427" ht="32" customHeight="1">
      <x:c r="A427" s="4" t="str">
        <x:v>PAR-0423</x:v>
      </x:c>
      <x:c r="B427" s="4" t="str">
        <x:v>组件</x:v>
      </x:c>
      <x:c r="C427" s="4" t="str">
        <x:v>actions:DA_00002</x:v>
      </x:c>
      <x:c r="D427" s="4" t="str">
        <x:v>分割视觉大模型</x:v>
      </x:c>
      <x:c r="E427" s="4" t="str">
        <x:v>fps</x:v>
      </x:c>
      <x:c r="F427" s="4" t="str">
        <x:v>取帧频率</x:v>
      </x:c>
      <x:c r="G427" s="4" t="str">
        <x:v>bm1688,cv186x,x86</x:v>
      </x:c>
      <x:c r="H427" s="4" t="str">
        <x:v>1</x:v>
      </x:c>
      <x:c r="I427" s="4" t="str">
        <x:v>min=; max=; regex=</x:v>
      </x:c>
      <x:c r="J427" s="4" t="str"/>
      <x:c r="K427" s="4" t="str">
        <x:v>自定义帧率，不要高于上游帧率。范围：0.01~1000，默认：1。</x:v>
      </x:c>
      <x:c r="L427" s="4" t="str">
        <x:v>默认/合法替代/空/非法类型；按已确认范围测min、max及相邻越界；保存回读并验证行为</x:v>
      </x:c>
      <x:c r="M427" s="4" t="str">
        <x:v>FLOW-009</x:v>
      </x:c>
      <x:c r="N427" s="4" t="str">
        <x:v>未执行</x:v>
      </x:c>
      <x:c r="O427" s="12" t="str"/>
    </x:row>
    <x:row r="428" ht="32" customHeight="1">
      <x:c r="A428" s="9" t="str">
        <x:v>PAR-0424</x:v>
      </x:c>
      <x:c r="B428" s="9" t="str">
        <x:v>组件</x:v>
      </x:c>
      <x:c r="C428" s="9" t="str">
        <x:v>actions:DA_00002</x:v>
      </x:c>
      <x:c r="D428" s="9" t="str">
        <x:v>分割视觉大模型</x:v>
      </x:c>
      <x:c r="E428" s="9" t="str">
        <x:v>inputType</x:v>
      </x:c>
      <x:c r="F428" s="9" t="str">
        <x:v>输入类型</x:v>
      </x:c>
      <x:c r="G428" s="9" t="str">
        <x:v>bm1688,cv186x,x86</x:v>
      </x:c>
      <x:c r="H428" s="9" t="str">
        <x:v>box</x:v>
      </x:c>
      <x:c r="I428" s="9" t="str">
        <x:v>枚举：box,point</x:v>
      </x:c>
      <x:c r="J428" s="9" t="str"/>
      <x:c r="K428" s="9" t="str">
        <x:v>输入类型</x:v>
      </x:c>
      <x:c r="L428" s="9" t="str">
        <x:v>依次选每个枚举；非法值；保存刷新；触发依赖字段</x:v>
      </x:c>
      <x:c r="M428" s="9" t="str">
        <x:v>FLOW-009</x:v>
      </x:c>
      <x:c r="N428" s="9" t="str">
        <x:v>未执行</x:v>
      </x:c>
      <x:c r="O428" s="12" t="str"/>
    </x:row>
    <x:row r="429" ht="32" customHeight="1">
      <x:c r="A429" s="4" t="str">
        <x:v>PAR-0425</x:v>
      </x:c>
      <x:c r="B429" s="4" t="str">
        <x:v>组件</x:v>
      </x:c>
      <x:c r="C429" s="4" t="str">
        <x:v>actions:DA_00003</x:v>
      </x:c>
      <x:c r="D429" s="4" t="str">
        <x:v>语言视觉大模型</x:v>
      </x:c>
      <x:c r="E429" s="4" t="str">
        <x:v>vlmProvider</x:v>
      </x:c>
      <x:c r="F429" s="4" t="str">
        <x:v>Inference Mode</x:v>
      </x:c>
      <x:c r="G429" s="4" t="str">
        <x:v>bm1688,cv186x,x86</x:v>
      </x:c>
      <x:c r="H429" s="4" t="str">
        <x:v>local_model</x:v>
      </x:c>
      <x:c r="I429" s="4" t="str">
        <x:v>枚举：local_model,openai_vlm</x:v>
      </x:c>
      <x:c r="J429" s="4" t="str"/>
      <x:c r="K429" s="4" t="str">
        <x:v>Choose local atomic model or OpenAI-compatible API</x:v>
      </x:c>
      <x:c r="L429" s="4" t="str">
        <x:v>依次选每个枚举；非法值；保存刷新；触发依赖字段</x:v>
      </x:c>
      <x:c r="M429" s="4" t="str">
        <x:v>FLOW-009</x:v>
      </x:c>
      <x:c r="N429" s="4" t="str">
        <x:v>未执行</x:v>
      </x:c>
      <x:c r="O429" s="12" t="str"/>
    </x:row>
    <x:row r="430" ht="32" customHeight="1">
      <x:c r="A430" s="9" t="str">
        <x:v>PAR-0426</x:v>
      </x:c>
      <x:c r="B430" s="9" t="str">
        <x:v>组件</x:v>
      </x:c>
      <x:c r="C430" s="9" t="str">
        <x:v>actions:DA_00003</x:v>
      </x:c>
      <x:c r="D430" s="9" t="str">
        <x:v>语言视觉大模型</x:v>
      </x:c>
      <x:c r="E430" s="9" t="str">
        <x:v>atomicCode</x:v>
      </x:c>
      <x:c r="F430" s="9" t="str">
        <x:v>选择原子模型</x:v>
      </x:c>
      <x:c r="G430" s="9" t="str">
        <x:v>bm1688,cv186x,x86</x:v>
      </x:c>
      <x:c r="H430" s="9" t="str"/>
      <x:c r="I430" s="9" t="str">
        <x:v>min=; max=; regex=</x:v>
      </x:c>
      <x:c r="J430" s="9" t="str">
        <x:v>{"key":"vlmProvider","value":"local_model"}</x:v>
      </x:c>
      <x:c r="K430" s="9" t="str">
        <x:v>选择原子模型</x:v>
      </x:c>
      <x:c r="L430" s="9" t="str">
        <x:v>默认/合法替代/空/非法类型；按已确认范围测min、max及相邻越界；保存回读并验证行为</x:v>
      </x:c>
      <x:c r="M430" s="9" t="str">
        <x:v>FLOW-009</x:v>
      </x:c>
      <x:c r="N430" s="9" t="str">
        <x:v>未执行</x:v>
      </x:c>
      <x:c r="O430" s="12" t="str"/>
    </x:row>
    <x:row r="431" ht="32" customHeight="1">
      <x:c r="A431" s="4" t="str">
        <x:v>PAR-0427</x:v>
      </x:c>
      <x:c r="B431" s="4" t="str">
        <x:v>组件</x:v>
      </x:c>
      <x:c r="C431" s="4" t="str">
        <x:v>actions:DA_00003</x:v>
      </x:c>
      <x:c r="D431" s="4" t="str">
        <x:v>语言视觉大模型</x:v>
      </x:c>
      <x:c r="E431" s="4" t="str">
        <x:v>openai.base_url</x:v>
      </x:c>
      <x:c r="F431" s="4" t="str">
        <x:v>base_url</x:v>
      </x:c>
      <x:c r="G431" s="4" t="str">
        <x:v>bm1688,cv186x,x86</x:v>
      </x:c>
      <x:c r="H431" s="4" t="str">
        <x:v>http://127.0.0.1:8000/v1</x:v>
      </x:c>
      <x:c r="I431" s="4" t="str">
        <x:v>min=; max=; regex=</x:v>
      </x:c>
      <x:c r="J431" s="4" t="str">
        <x:v>{"key":"vlmProvider","value":"openai_vlm"}</x:v>
      </x:c>
      <x:c r="K431" s="4" t="str">
        <x:v>OpenAI-compatible API base URL, for example http://127.0.0.1:8000/v1</x:v>
      </x:c>
      <x:c r="L431" s="4" t="str">
        <x:v>默认/合法替代/空/非法类型；按已确认范围测min、max及相邻越界；保存回读并验证行为</x:v>
      </x:c>
      <x:c r="M431" s="4" t="str">
        <x:v>FLOW-009</x:v>
      </x:c>
      <x:c r="N431" s="4" t="str">
        <x:v>未执行</x:v>
      </x:c>
      <x:c r="O431" s="12" t="str"/>
    </x:row>
    <x:row r="432" ht="32" customHeight="1">
      <x:c r="A432" s="9" t="str">
        <x:v>PAR-0428</x:v>
      </x:c>
      <x:c r="B432" s="9" t="str">
        <x:v>组件</x:v>
      </x:c>
      <x:c r="C432" s="9" t="str">
        <x:v>actions:DA_00003</x:v>
      </x:c>
      <x:c r="D432" s="9" t="str">
        <x:v>语言视觉大模型</x:v>
      </x:c>
      <x:c r="E432" s="9" t="str">
        <x:v>openai.api_key</x:v>
      </x:c>
      <x:c r="F432" s="9" t="str">
        <x:v>api_key</x:v>
      </x:c>
      <x:c r="G432" s="9" t="str">
        <x:v>bm1688,cv186x,x86</x:v>
      </x:c>
      <x:c r="H432" s="9" t="str"/>
      <x:c r="I432" s="9" t="str">
        <x:v>min=; max=; regex=</x:v>
      </x:c>
      <x:c r="J432" s="9" t="str">
        <x:v>{"key":"vlmProvider","value":"openai_vlm"}</x:v>
      </x:c>
      <x:c r="K432" s="9" t="str">
        <x:v>OpenAI API key; leave empty when local vLLM authentication is disabled</x:v>
      </x:c>
      <x:c r="L432" s="9" t="str">
        <x:v>默认/合法替代/空/非法类型；按已确认范围测min、max及相邻越界；保存回读并验证行为</x:v>
      </x:c>
      <x:c r="M432" s="9" t="str">
        <x:v>FLOW-009</x:v>
      </x:c>
      <x:c r="N432" s="9" t="str">
        <x:v>未执行</x:v>
      </x:c>
      <x:c r="O432" s="12" t="str"/>
    </x:row>
    <x:row r="433" ht="32" customHeight="1">
      <x:c r="A433" s="4" t="str">
        <x:v>PAR-0429</x:v>
      </x:c>
      <x:c r="B433" s="4" t="str">
        <x:v>组件</x:v>
      </x:c>
      <x:c r="C433" s="4" t="str">
        <x:v>actions:DA_00003</x:v>
      </x:c>
      <x:c r="D433" s="4" t="str">
        <x:v>语言视觉大模型</x:v>
      </x:c>
      <x:c r="E433" s="4" t="str">
        <x:v>openai.model</x:v>
      </x:c>
      <x:c r="F433" s="4" t="str">
        <x:v>model</x:v>
      </x:c>
      <x:c r="G433" s="4" t="str">
        <x:v>bm1688,cv186x,x86</x:v>
      </x:c>
      <x:c r="H433" s="4" t="str">
        <x:v>Qwen/Qwen3-VL-2B-Instruct</x:v>
      </x:c>
      <x:c r="I433" s="4" t="str">
        <x:v>min=; max=; regex=</x:v>
      </x:c>
      <x:c r="J433" s="4" t="str">
        <x:v>{"key":"vlmProvider","value":"openai_vlm"}</x:v>
      </x:c>
      <x:c r="K433" s="4" t="str">
        <x:v>OpenAI API model name</x:v>
      </x:c>
      <x:c r="L433" s="4" t="str">
        <x:v>默认/合法替代/空/非法类型；按已确认范围测min、max及相邻越界；保存回读并验证行为</x:v>
      </x:c>
      <x:c r="M433" s="4" t="str">
        <x:v>FLOW-009</x:v>
      </x:c>
      <x:c r="N433" s="4" t="str">
        <x:v>未执行</x:v>
      </x:c>
      <x:c r="O433" s="12" t="str"/>
    </x:row>
    <x:row r="434" ht="32" customHeight="1">
      <x:c r="A434" s="9" t="str">
        <x:v>PAR-0430</x:v>
      </x:c>
      <x:c r="B434" s="9" t="str">
        <x:v>组件</x:v>
      </x:c>
      <x:c r="C434" s="9" t="str">
        <x:v>actions:DA_00003</x:v>
      </x:c>
      <x:c r="D434" s="9" t="str">
        <x:v>语言视觉大模型</x:v>
      </x:c>
      <x:c r="E434" s="9" t="str">
        <x:v>openai.endpoint</x:v>
      </x:c>
      <x:c r="F434" s="9" t="str">
        <x:v>endpoint</x:v>
      </x:c>
      <x:c r="G434" s="9" t="str">
        <x:v>bm1688,cv186x,x86</x:v>
      </x:c>
      <x:c r="H434" s="9" t="str">
        <x:v>/chat/completions</x:v>
      </x:c>
      <x:c r="I434" s="9" t="str">
        <x:v>min=; max=; regex=</x:v>
      </x:c>
      <x:c r="J434" s="9" t="str">
        <x:v>{"key":"vlmProvider","value":"openai_vlm"}</x:v>
      </x:c>
      <x:c r="K434" s="9" t="str">
        <x:v>OpenAI-compatible API path, default /chat/completions</x:v>
      </x:c>
      <x:c r="L434" s="9" t="str">
        <x:v>默认/合法替代/空/非法类型；按已确认范围测min、max及相邻越界；保存回读并验证行为</x:v>
      </x:c>
      <x:c r="M434" s="9" t="str">
        <x:v>FLOW-009</x:v>
      </x:c>
      <x:c r="N434" s="9" t="str">
        <x:v>未执行</x:v>
      </x:c>
      <x:c r="O434" s="12" t="str"/>
    </x:row>
    <x:row r="435" ht="32" customHeight="1">
      <x:c r="A435" s="4" t="str">
        <x:v>PAR-0431</x:v>
      </x:c>
      <x:c r="B435" s="4" t="str">
        <x:v>组件</x:v>
      </x:c>
      <x:c r="C435" s="4" t="str">
        <x:v>actions:DA_00003</x:v>
      </x:c>
      <x:c r="D435" s="4" t="str">
        <x:v>语言视觉大模型</x:v>
      </x:c>
      <x:c r="E435" s="4" t="str">
        <x:v>openai.timeout_ms</x:v>
      </x:c>
      <x:c r="F435" s="4" t="str">
        <x:v>timeout_ms</x:v>
      </x:c>
      <x:c r="G435" s="4" t="str">
        <x:v>bm1688,cv186x,x86</x:v>
      </x:c>
      <x:c r="H435" s="4" t="str">
        <x:v>60000</x:v>
      </x:c>
      <x:c r="I435" s="4" t="str">
        <x:v>min=; max=; regex=</x:v>
      </x:c>
      <x:c r="J435" s="4" t="str">
        <x:v>{"key":"vlmProvider","value":"openai_vlm"}</x:v>
      </x:c>
      <x:c r="K435" s="4" t="str">
        <x:v>Request timeout in milliseconds</x:v>
      </x:c>
      <x:c r="L435" s="4" t="str">
        <x:v>默认/合法替代/空/非法类型；按已确认范围测min、max及相邻越界；保存回读并验证行为</x:v>
      </x:c>
      <x:c r="M435" s="4" t="str">
        <x:v>FLOW-009</x:v>
      </x:c>
      <x:c r="N435" s="4" t="str">
        <x:v>未执行</x:v>
      </x:c>
      <x:c r="O435" s="12" t="str"/>
    </x:row>
    <x:row r="436" ht="32" customHeight="1">
      <x:c r="A436" s="9" t="str">
        <x:v>PAR-0432</x:v>
      </x:c>
      <x:c r="B436" s="9" t="str">
        <x:v>组件</x:v>
      </x:c>
      <x:c r="C436" s="9" t="str">
        <x:v>actions:DA_00003</x:v>
      </x:c>
      <x:c r="D436" s="9" t="str">
        <x:v>语言视觉大模型</x:v>
      </x:c>
      <x:c r="E436" s="9" t="str">
        <x:v>openai.max_tokens</x:v>
      </x:c>
      <x:c r="F436" s="9" t="str">
        <x:v>max_tokens</x:v>
      </x:c>
      <x:c r="G436" s="9" t="str">
        <x:v>bm1688,cv186x,x86</x:v>
      </x:c>
      <x:c r="H436" s="9" t="str">
        <x:v>256</x:v>
      </x:c>
      <x:c r="I436" s="9" t="str">
        <x:v>min=; max=; regex=</x:v>
      </x:c>
      <x:c r="J436" s="9" t="str">
        <x:v>{"key":"vlmProvider","value":"openai_vlm"}</x:v>
      </x:c>
      <x:c r="K436" s="9" t="str">
        <x:v>Maximum output token count</x:v>
      </x:c>
      <x:c r="L436" s="9" t="str">
        <x:v>默认/合法替代/空/非法类型；按已确认范围测min、max及相邻越界；保存回读并验证行为</x:v>
      </x:c>
      <x:c r="M436" s="9" t="str">
        <x:v>FLOW-009</x:v>
      </x:c>
      <x:c r="N436" s="9" t="str">
        <x:v>未执行</x:v>
      </x:c>
      <x:c r="O436" s="12" t="str"/>
    </x:row>
    <x:row r="437" ht="32" customHeight="1">
      <x:c r="A437" s="4" t="str">
        <x:v>PAR-0433</x:v>
      </x:c>
      <x:c r="B437" s="4" t="str">
        <x:v>组件</x:v>
      </x:c>
      <x:c r="C437" s="4" t="str">
        <x:v>actions:DA_00003</x:v>
      </x:c>
      <x:c r="D437" s="4" t="str">
        <x:v>语言视觉大模型</x:v>
      </x:c>
      <x:c r="E437" s="4" t="str">
        <x:v>fps</x:v>
      </x:c>
      <x:c r="F437" s="4" t="str">
        <x:v>取帧频率</x:v>
      </x:c>
      <x:c r="G437" s="4" t="str">
        <x:v>bm1688,cv186x,x86</x:v>
      </x:c>
      <x:c r="H437" s="4" t="str">
        <x:v>1</x:v>
      </x:c>
      <x:c r="I437" s="4" t="str">
        <x:v>min=; max=; regex=</x:v>
      </x:c>
      <x:c r="J437" s="4" t="str"/>
      <x:c r="K437" s="4" t="str">
        <x:v>自定义帧率，不要高于上游帧率。范围：0.01~1000，默认：1。</x:v>
      </x:c>
      <x:c r="L437" s="4" t="str">
        <x:v>默认/合法替代/空/非法类型；按已确认范围测min、max及相邻越界；保存回读并验证行为</x:v>
      </x:c>
      <x:c r="M437" s="4" t="str">
        <x:v>FLOW-009</x:v>
      </x:c>
      <x:c r="N437" s="4" t="str">
        <x:v>未执行</x:v>
      </x:c>
      <x:c r="O437" s="12" t="str"/>
    </x:row>
    <x:row r="438" ht="55" customHeight="1">
      <x:c r="A438" s="9" t="str">
        <x:v>PAR-0434</x:v>
      </x:c>
      <x:c r="B438" s="9" t="str">
        <x:v>组件</x:v>
      </x:c>
      <x:c r="C438" s="9" t="str">
        <x:v>actions:DA_00003</x:v>
      </x:c>
      <x:c r="D438" s="9" t="str">
        <x:v>语言视觉大模型</x:v>
      </x:c>
      <x:c r="E438" s="9" t="str">
        <x:v>advanced_mode</x:v>
      </x:c>
      <x:c r="F438" s="9" t="str">
        <x:v>高级提示词模式</x:v>
      </x:c>
      <x:c r="G438" s="9" t="str">
        <x:v>bm1688,cv186x,x86</x:v>
      </x:c>
      <x:c r="H438" s="9" t="str">
        <x:v>0</x:v>
      </x:c>
      <x:c r="I438" s="9" t="str">
        <x:v>min=; max=; regex=</x:v>
      </x:c>
      <x:c r="J438" s="9" t="str"/>
      <x:c r="K438" s="9" t="str">
        <x:v>开启高级模式可完整自定义前半段提示词。不开启(如输入：安全帽)，实际为“判断图片中是否存在【安全帽】目标，回答...”；开启(如输入：判断画面有无安全帽)，实际为“判断画面有无安全帽，回答...”</x:v>
      </x:c>
      <x:c r="L438" s="9" t="str">
        <x:v>默认/合法替代/空/非法类型；按已确认范围测min、max及相邻越界；保存回读并验证行为</x:v>
      </x:c>
      <x:c r="M438" s="9" t="str">
        <x:v>FLOW-009</x:v>
      </x:c>
      <x:c r="N438" s="9" t="str">
        <x:v>未执行</x:v>
      </x:c>
      <x:c r="O438" s="12" t="str"/>
    </x:row>
    <x:row r="439" ht="32" customHeight="1">
      <x:c r="A439" s="4" t="str">
        <x:v>PAR-0435</x:v>
      </x:c>
      <x:c r="B439" s="4" t="str">
        <x:v>组件</x:v>
      </x:c>
      <x:c r="C439" s="4" t="str">
        <x:v>actions:DA_00003</x:v>
      </x:c>
      <x:c r="D439" s="4" t="str">
        <x:v>语言视觉大模型</x:v>
      </x:c>
      <x:c r="E439" s="4" t="str">
        <x:v>keywords</x:v>
      </x:c>
      <x:c r="F439" s="4" t="str">
        <x:v>提示词</x:v>
      </x:c>
      <x:c r="G439" s="4" t="str">
        <x:v>bm1688,cv186x,x86</x:v>
      </x:c>
      <x:c r="H439" s="4" t="str"/>
      <x:c r="I439" s="4" t="str">
        <x:v>min=; max=; regex=</x:v>
      </x:c>
      <x:c r="J439" s="4" t="str"/>
      <x:c r="K439" s="4" t="str">
        <x:v>输入提示词</x:v>
      </x:c>
      <x:c r="L439" s="4" t="str">
        <x:v>默认/合法替代/空/非法类型；按已确认范围测min、max及相邻越界；保存回读并验证行为</x:v>
      </x:c>
      <x:c r="M439" s="4" t="str">
        <x:v>FLOW-009</x:v>
      </x:c>
      <x:c r="N439" s="4" t="str">
        <x:v>未执行</x:v>
      </x:c>
      <x:c r="O439" s="12" t="str"/>
    </x:row>
    <x:row r="440" ht="32" customHeight="1">
      <x:c r="A440" s="9" t="str">
        <x:v>PAR-0436</x:v>
      </x:c>
      <x:c r="B440" s="9" t="str">
        <x:v>组件</x:v>
      </x:c>
      <x:c r="C440" s="9" t="str">
        <x:v>actions:DA_00003</x:v>
      </x:c>
      <x:c r="D440" s="9" t="str">
        <x:v>语言视觉大模型</x:v>
      </x:c>
      <x:c r="E440" s="9" t="str">
        <x:v>generationStyle</x:v>
      </x:c>
      <x:c r="F440" s="9" t="str">
        <x:v>生成风格</x:v>
      </x:c>
      <x:c r="G440" s="9" t="str">
        <x:v>bm1688,cv186x,x86</x:v>
      </x:c>
      <x:c r="H440" s="9" t="str">
        <x:v>standard</x:v>
      </x:c>
      <x:c r="I440" s="9" t="str">
        <x:v>枚举：strict,standard,creative,custom</x:v>
      </x:c>
      <x:c r="J440" s="9" t="str"/>
      <x:c r="K440" s="9" t="str">
        <x:v>生成风格</x:v>
      </x:c>
      <x:c r="L440" s="9" t="str">
        <x:v>依次选每个枚举；非法值；保存刷新；触发依赖字段</x:v>
      </x:c>
      <x:c r="M440" s="9" t="str">
        <x:v>FLOW-009</x:v>
      </x:c>
      <x:c r="N440" s="9" t="str">
        <x:v>未执行</x:v>
      </x:c>
      <x:c r="O440" s="12" t="str"/>
    </x:row>
    <x:row r="441" ht="32" customHeight="1">
      <x:c r="A441" s="4" t="str">
        <x:v>PAR-0437</x:v>
      </x:c>
      <x:c r="B441" s="4" t="str">
        <x:v>组件</x:v>
      </x:c>
      <x:c r="C441" s="4" t="str">
        <x:v>actions:DA_00003</x:v>
      </x:c>
      <x:c r="D441" s="4" t="str">
        <x:v>语言视觉大模型</x:v>
      </x:c>
      <x:c r="E441" s="4" t="str">
        <x:v>doSample</x:v>
      </x:c>
      <x:c r="F441" s="4" t="str">
        <x:v>do_sample</x:v>
      </x:c>
      <x:c r="G441" s="4" t="str">
        <x:v>bm1688,cv186x,x86</x:v>
      </x:c>
      <x:c r="H441" s="4" t="str">
        <x:v>1</x:v>
      </x:c>
      <x:c r="I441" s="4" t="str">
        <x:v>min=; max=; regex=</x:v>
      </x:c>
      <x:c r="J441" s="4" t="str">
        <x:v>{"key":"generationStyle","value":"custom"}</x:v>
      </x:c>
      <x:c r="K441" s="4" t="str">
        <x:v>启用随机采样</x:v>
      </x:c>
      <x:c r="L441" s="4" t="str">
        <x:v>默认/合法替代/空/非法类型；按已确认范围测min、max及相邻越界；保存回读并验证行为</x:v>
      </x:c>
      <x:c r="M441" s="4" t="str">
        <x:v>FLOW-009</x:v>
      </x:c>
      <x:c r="N441" s="4" t="str">
        <x:v>未执行</x:v>
      </x:c>
      <x:c r="O441" s="12" t="str"/>
    </x:row>
    <x:row r="442" ht="32" customHeight="1">
      <x:c r="A442" s="9" t="str">
        <x:v>PAR-0438</x:v>
      </x:c>
      <x:c r="B442" s="9" t="str">
        <x:v>组件</x:v>
      </x:c>
      <x:c r="C442" s="9" t="str">
        <x:v>actions:DA_00003</x:v>
      </x:c>
      <x:c r="D442" s="9" t="str">
        <x:v>语言视觉大模型</x:v>
      </x:c>
      <x:c r="E442" s="9" t="str">
        <x:v>topK</x:v>
      </x:c>
      <x:c r="F442" s="9" t="str">
        <x:v>top_k</x:v>
      </x:c>
      <x:c r="G442" s="9" t="str">
        <x:v>bm1688,cv186x,x86</x:v>
      </x:c>
      <x:c r="H442" s="9" t="str">
        <x:v>20</x:v>
      </x:c>
      <x:c r="I442" s="9" t="str">
        <x:v>min=; max=; regex=</x:v>
      </x:c>
      <x:c r="J442" s="9" t="str">
        <x:v>{"key":"generationStyle","value":"custom"}</x:v>
      </x:c>
      <x:c r="K442" s="9" t="str">
        <x:v>每一步只从概率最高的 K 个 token 里选，范围：1~100，默认：20</x:v>
      </x:c>
      <x:c r="L442" s="9" t="str">
        <x:v>默认/合法替代/空/非法类型；按已确认范围测min、max及相邻越界；保存回读并验证行为</x:v>
      </x:c>
      <x:c r="M442" s="9" t="str">
        <x:v>FLOW-009</x:v>
      </x:c>
      <x:c r="N442" s="9" t="str">
        <x:v>未执行</x:v>
      </x:c>
      <x:c r="O442" s="12" t="str"/>
    </x:row>
    <x:row r="443" ht="32" customHeight="1">
      <x:c r="A443" s="4" t="str">
        <x:v>PAR-0439</x:v>
      </x:c>
      <x:c r="B443" s="4" t="str">
        <x:v>组件</x:v>
      </x:c>
      <x:c r="C443" s="4" t="str">
        <x:v>actions:DA_00003</x:v>
      </x:c>
      <x:c r="D443" s="4" t="str">
        <x:v>语言视觉大模型</x:v>
      </x:c>
      <x:c r="E443" s="4" t="str">
        <x:v>topP</x:v>
      </x:c>
      <x:c r="F443" s="4" t="str">
        <x:v>top_p</x:v>
      </x:c>
      <x:c r="G443" s="4" t="str">
        <x:v>bm1688,cv186x,x86</x:v>
      </x:c>
      <x:c r="H443" s="4" t="str">
        <x:v>0.8</x:v>
      </x:c>
      <x:c r="I443" s="4" t="str">
        <x:v>min=; max=; regex=</x:v>
      </x:c>
      <x:c r="J443" s="4" t="str">
        <x:v>{"key":"generationStyle","value":"custom"}</x:v>
      </x:c>
      <x:c r="K443" s="4" t="str">
        <x:v>只在累计概率 ≤ top_p 的 token 集合中采样，范围：0.1~1.0，默认：0.8</x:v>
      </x:c>
      <x:c r="L443" s="4" t="str">
        <x:v>默认/合法替代/空/非法类型；按已确认范围测min、max及相邻越界；保存回读并验证行为</x:v>
      </x:c>
      <x:c r="M443" s="4" t="str">
        <x:v>FLOW-009</x:v>
      </x:c>
      <x:c r="N443" s="4" t="str">
        <x:v>未执行</x:v>
      </x:c>
      <x:c r="O443" s="12" t="str"/>
    </x:row>
    <x:row r="444" ht="32" customHeight="1">
      <x:c r="A444" s="9" t="str">
        <x:v>PAR-0440</x:v>
      </x:c>
      <x:c r="B444" s="9" t="str">
        <x:v>组件</x:v>
      </x:c>
      <x:c r="C444" s="9" t="str">
        <x:v>actions:DA_00003</x:v>
      </x:c>
      <x:c r="D444" s="9" t="str">
        <x:v>语言视觉大模型</x:v>
      </x:c>
      <x:c r="E444" s="9" t="str">
        <x:v>temperature</x:v>
      </x:c>
      <x:c r="F444" s="9" t="str">
        <x:v>temperature</x:v>
      </x:c>
      <x:c r="G444" s="9" t="str">
        <x:v>bm1688,cv186x,x86</x:v>
      </x:c>
      <x:c r="H444" s="9" t="str">
        <x:v>0.7</x:v>
      </x:c>
      <x:c r="I444" s="9" t="str">
        <x:v>min=; max=; regex=</x:v>
      </x:c>
      <x:c r="J444" s="9" t="str">
        <x:v>{"key":"generationStyle","value":"custom"}</x:v>
      </x:c>
      <x:c r="K444" s="9" t="str">
        <x:v>回答发散度，数值越低，回答越严谨、越稳定，范围：0.0~2.0，默认：0.7</x:v>
      </x:c>
      <x:c r="L444" s="9" t="str">
        <x:v>默认/合法替代/空/非法类型；按已确认范围测min、max及相邻越界；保存回读并验证行为</x:v>
      </x:c>
      <x:c r="M444" s="9" t="str">
        <x:v>FLOW-009</x:v>
      </x:c>
      <x:c r="N444" s="9" t="str">
        <x:v>未执行</x:v>
      </x:c>
      <x:c r="O444" s="12" t="str"/>
    </x:row>
    <x:row r="445" ht="32" customHeight="1">
      <x:c r="A445" s="4" t="str">
        <x:v>PAR-0441</x:v>
      </x:c>
      <x:c r="B445" s="4" t="str">
        <x:v>组件</x:v>
      </x:c>
      <x:c r="C445" s="4" t="str">
        <x:v>actions:PA_00001</x:v>
      </x:c>
      <x:c r="D445" s="4" t="str">
        <x:v>目标检测算法</x:v>
      </x:c>
      <x:c r="E445" s="4" t="str">
        <x:v>atomicCode</x:v>
      </x:c>
      <x:c r="F445" s="4" t="str">
        <x:v>选择原子模型</x:v>
      </x:c>
      <x:c r="G445" s="4" t="str">
        <x:v>bm1688,cv186x,x86</x:v>
      </x:c>
      <x:c r="H445" s="4" t="str"/>
      <x:c r="I445" s="4" t="str">
        <x:v>min=; max=; regex=</x:v>
      </x:c>
      <x:c r="J445" s="4" t="str"/>
      <x:c r="K445" s="4" t="str">
        <x:v>选择原子模型</x:v>
      </x:c>
      <x:c r="L445" s="4" t="str">
        <x:v>默认/合法替代/空/非法类型；按已确认范围测min、max及相邻越界；保存回读并验证行为</x:v>
      </x:c>
      <x:c r="M445" s="4" t="str">
        <x:v>FLOW-009</x:v>
      </x:c>
      <x:c r="N445" s="4" t="str">
        <x:v>未执行</x:v>
      </x:c>
      <x:c r="O445" s="12" t="str"/>
    </x:row>
    <x:row r="446" ht="32" customHeight="1">
      <x:c r="A446" s="9" t="str">
        <x:v>PAR-0442</x:v>
      </x:c>
      <x:c r="B446" s="9" t="str">
        <x:v>组件</x:v>
      </x:c>
      <x:c r="C446" s="9" t="str">
        <x:v>actions:PA_00002</x:v>
      </x:c>
      <x:c r="D446" s="9" t="str">
        <x:v>目标分类算法</x:v>
      </x:c>
      <x:c r="E446" s="9" t="str">
        <x:v>atomicCode</x:v>
      </x:c>
      <x:c r="F446" s="9" t="str">
        <x:v>选择原子模型</x:v>
      </x:c>
      <x:c r="G446" s="9" t="str">
        <x:v>bm1688,cv186x,x86</x:v>
      </x:c>
      <x:c r="H446" s="9" t="str"/>
      <x:c r="I446" s="9" t="str">
        <x:v>min=; max=; regex=</x:v>
      </x:c>
      <x:c r="J446" s="9" t="str"/>
      <x:c r="K446" s="9" t="str">
        <x:v>选择原子模型</x:v>
      </x:c>
      <x:c r="L446" s="9" t="str">
        <x:v>默认/合法替代/空/非法类型；按已确认范围测min、max及相邻越界；保存回读并验证行为</x:v>
      </x:c>
      <x:c r="M446" s="9" t="str">
        <x:v>FLOW-009</x:v>
      </x:c>
      <x:c r="N446" s="9" t="str">
        <x:v>未执行</x:v>
      </x:c>
      <x:c r="O446" s="12" t="str"/>
    </x:row>
    <x:row r="447" ht="32" customHeight="1">
      <x:c r="A447" s="4" t="str">
        <x:v>PAR-0443</x:v>
      </x:c>
      <x:c r="B447" s="4" t="str">
        <x:v>组件</x:v>
      </x:c>
      <x:c r="C447" s="4" t="str">
        <x:v>actions:PA_00002</x:v>
      </x:c>
      <x:c r="D447" s="4" t="str">
        <x:v>目标分类算法</x:v>
      </x:c>
      <x:c r="E447" s="4" t="str">
        <x:v>inputType</x:v>
      </x:c>
      <x:c r="F447" s="4" t="str">
        <x:v>分类输入</x:v>
      </x:c>
      <x:c r="G447" s="4" t="str">
        <x:v>bm1688,cv186x,x86</x:v>
      </x:c>
      <x:c r="H447" s="4" t="str">
        <x:v>targets</x:v>
      </x:c>
      <x:c r="I447" s="4" t="str">
        <x:v>枚举：targets,image</x:v>
      </x:c>
      <x:c r="J447" s="4" t="str"/>
      <x:c r="K447" s="4" t="str"/>
      <x:c r="L447" s="4" t="str">
        <x:v>依次选每个枚举；非法值；保存刷新；触发依赖字段</x:v>
      </x:c>
      <x:c r="M447" s="4" t="str">
        <x:v>FLOW-009</x:v>
      </x:c>
      <x:c r="N447" s="4" t="str">
        <x:v>未执行</x:v>
      </x:c>
      <x:c r="O447" s="12" t="str"/>
    </x:row>
    <x:row r="448" ht="32" customHeight="1">
      <x:c r="A448" s="9" t="str">
        <x:v>PAR-0444</x:v>
      </x:c>
      <x:c r="B448" s="9" t="str">
        <x:v>组件</x:v>
      </x:c>
      <x:c r="C448" s="9" t="str">
        <x:v>actions:PA_00005</x:v>
      </x:c>
      <x:c r="D448" s="9" t="str">
        <x:v>特征提取算法</x:v>
      </x:c>
      <x:c r="E448" s="9" t="str">
        <x:v>atomicCode</x:v>
      </x:c>
      <x:c r="F448" s="9" t="str">
        <x:v>选择原子模型</x:v>
      </x:c>
      <x:c r="G448" s="9" t="str">
        <x:v>bm1688,cv186x,x86</x:v>
      </x:c>
      <x:c r="H448" s="9" t="str"/>
      <x:c r="I448" s="9" t="str">
        <x:v>min=; max=; regex=</x:v>
      </x:c>
      <x:c r="J448" s="9" t="str"/>
      <x:c r="K448" s="9" t="str">
        <x:v>选择原子模型</x:v>
      </x:c>
      <x:c r="L448" s="9" t="str">
        <x:v>默认/合法替代/空/非法类型；按已确认范围测min、max及相邻越界；保存回读并验证行为</x:v>
      </x:c>
      <x:c r="M448" s="9" t="str">
        <x:v>FLOW-009</x:v>
      </x:c>
      <x:c r="N448" s="9" t="str">
        <x:v>未执行</x:v>
      </x:c>
      <x:c r="O448" s="12" t="str"/>
    </x:row>
    <x:row r="449" ht="32" customHeight="1">
      <x:c r="A449" s="4" t="str">
        <x:v>PAR-0445</x:v>
      </x:c>
      <x:c r="B449" s="4" t="str">
        <x:v>组件</x:v>
      </x:c>
      <x:c r="C449" s="4" t="str">
        <x:v>actions:PA_00005</x:v>
      </x:c>
      <x:c r="D449" s="4" t="str">
        <x:v>特征提取算法</x:v>
      </x:c>
      <x:c r="E449" s="4" t="str">
        <x:v>featureInput</x:v>
      </x:c>
      <x:c r="F449" s="4" t="str">
        <x:v>特征输入类型</x:v>
      </x:c>
      <x:c r="G449" s="4" t="str">
        <x:v>bm1688,cv186x,x86</x:v>
      </x:c>
      <x:c r="H449" s="4" t="str">
        <x:v>0</x:v>
      </x:c>
      <x:c r="I449" s="4" t="str">
        <x:v>枚举：0,1,2,3</x:v>
      </x:c>
      <x:c r="J449" s="4" t="str"/>
      <x:c r="K449" s="4" t="str">
        <x:v>特征输入类型</x:v>
      </x:c>
      <x:c r="L449" s="4" t="str">
        <x:v>依次选每个枚举；非法值；保存刷新；触发依赖字段</x:v>
      </x:c>
      <x:c r="M449" s="4" t="str">
        <x:v>FLOW-009</x:v>
      </x:c>
      <x:c r="N449" s="4" t="str">
        <x:v>未执行</x:v>
      </x:c>
      <x:c r="O449" s="12" t="str"/>
    </x:row>
    <x:row r="450" ht="32" customHeight="1">
      <x:c r="A450" s="9" t="str">
        <x:v>PAR-0446</x:v>
      </x:c>
      <x:c r="B450" s="9" t="str">
        <x:v>组件</x:v>
      </x:c>
      <x:c r="C450" s="9" t="str">
        <x:v>actions:PB_90001</x:v>
      </x:c>
      <x:c r="D450" s="9" t="str">
        <x:v>图片目标判断</x:v>
      </x:c>
      <x:c r="E450" s="9" t="str">
        <x:v>condition</x:v>
      </x:c>
      <x:c r="F450" s="9" t="str">
        <x:v>条件配置</x:v>
      </x:c>
      <x:c r="G450" s="9" t="str">
        <x:v>bm1688,cv186x,x86</x:v>
      </x:c>
      <x:c r="H450" s="9" t="str"/>
      <x:c r="I450" s="9" t="str">
        <x:v>min=; max=; regex=</x:v>
      </x:c>
      <x:c r="J450" s="9" t="str"/>
      <x:c r="K450" s="9" t="str">
        <x:v>配置条件使其结果为真，并运行下面的动作</x:v>
      </x:c>
      <x:c r="L450" s="9" t="str">
        <x:v>默认/合法替代/空/非法类型；按已确认范围测min、max及相邻越界；保存回读并验证行为</x:v>
      </x:c>
      <x:c r="M450" s="9" t="str">
        <x:v>FLOW-009</x:v>
      </x:c>
      <x:c r="N450" s="9" t="str">
        <x:v>未执行</x:v>
      </x:c>
      <x:c r="O450" s="12" t="str"/>
    </x:row>
    <x:row r="451" ht="32" customHeight="1">
      <x:c r="A451" s="4" t="str">
        <x:v>PAR-0447</x:v>
      </x:c>
      <x:c r="B451" s="4" t="str">
        <x:v>组件</x:v>
      </x:c>
      <x:c r="C451" s="4" t="str">
        <x:v>actions:PDA_00001</x:v>
      </x:c>
      <x:c r="D451" s="4" t="str">
        <x:v>检测视觉大模型</x:v>
      </x:c>
      <x:c r="E451" s="4" t="str">
        <x:v>atomicCode</x:v>
      </x:c>
      <x:c r="F451" s="4" t="str">
        <x:v>选择原子模型</x:v>
      </x:c>
      <x:c r="G451" s="4" t="str">
        <x:v>bm1688,cv186x,x86</x:v>
      </x:c>
      <x:c r="H451" s="4" t="str"/>
      <x:c r="I451" s="4" t="str">
        <x:v>min=; max=; regex=</x:v>
      </x:c>
      <x:c r="J451" s="4" t="str"/>
      <x:c r="K451" s="4" t="str">
        <x:v>选择原子模型</x:v>
      </x:c>
      <x:c r="L451" s="4" t="str">
        <x:v>默认/合法替代/空/非法类型；按已确认范围测min、max及相邻越界；保存回读并验证行为</x:v>
      </x:c>
      <x:c r="M451" s="4" t="str">
        <x:v>FLOW-009</x:v>
      </x:c>
      <x:c r="N451" s="4" t="str">
        <x:v>未执行</x:v>
      </x:c>
      <x:c r="O451" s="12" t="str"/>
    </x:row>
    <x:row r="452" ht="32" customHeight="1">
      <x:c r="A452" s="9" t="str">
        <x:v>PAR-0448</x:v>
      </x:c>
      <x:c r="B452" s="9" t="str">
        <x:v>组件</x:v>
      </x:c>
      <x:c r="C452" s="9" t="str">
        <x:v>actions:PDA_00001</x:v>
      </x:c>
      <x:c r="D452" s="9" t="str">
        <x:v>检测视觉大模型</x:v>
      </x:c>
      <x:c r="E452" s="9" t="str">
        <x:v>keywords</x:v>
      </x:c>
      <x:c r="F452" s="9" t="str">
        <x:v>提示词</x:v>
      </x:c>
      <x:c r="G452" s="9" t="str">
        <x:v>bm1688,cv186x,x86</x:v>
      </x:c>
      <x:c r="H452" s="9" t="str"/>
      <x:c r="I452" s="9" t="str">
        <x:v>min=; max=; regex=</x:v>
      </x:c>
      <x:c r="J452" s="9" t="str"/>
      <x:c r="K452" s="9" t="str">
        <x:v>多个提示词可以使用英文句号隔开</x:v>
      </x:c>
      <x:c r="L452" s="9" t="str">
        <x:v>默认/合法替代/空/非法类型；按已确认范围测min、max及相邻越界；保存回读并验证行为</x:v>
      </x:c>
      <x:c r="M452" s="9" t="str">
        <x:v>FLOW-009</x:v>
      </x:c>
      <x:c r="N452" s="9" t="str">
        <x:v>未执行</x:v>
      </x:c>
      <x:c r="O452" s="12" t="str"/>
    </x:row>
    <x:row r="453" ht="32" customHeight="1">
      <x:c r="A453" s="4" t="str">
        <x:v>PAR-0449</x:v>
      </x:c>
      <x:c r="B453" s="4" t="str">
        <x:v>组件</x:v>
      </x:c>
      <x:c r="C453" s="4" t="str">
        <x:v>actions:PDA_00001</x:v>
      </x:c>
      <x:c r="D453" s="4" t="str">
        <x:v>检测视觉大模型</x:v>
      </x:c>
      <x:c r="E453" s="4" t="str">
        <x:v>aiParam.box.confidence</x:v>
      </x:c>
      <x:c r="F453" s="4" t="str">
        <x:v>目标置信度</x:v>
      </x:c>
      <x:c r="G453" s="4" t="str">
        <x:v>bm1688,cv186x,x86</x:v>
      </x:c>
      <x:c r="H453" s="4" t="str">
        <x:v>0.25</x:v>
      </x:c>
      <x:c r="I453" s="4" t="str">
        <x:v>min=; max=; regex=</x:v>
      </x:c>
      <x:c r="J453" s="4" t="str"/>
      <x:c r="K453" s="4" t="str">
        <x:v>目标置信度，范围：0.0~1.0，限小数点后3位</x:v>
      </x:c>
      <x:c r="L453" s="4" t="str">
        <x:v>默认/合法替代/空/非法类型；按已确认范围测min、max及相邻越界；保存回读并验证行为</x:v>
      </x:c>
      <x:c r="M453" s="4" t="str">
        <x:v>FLOW-009</x:v>
      </x:c>
      <x:c r="N453" s="4" t="str">
        <x:v>未执行</x:v>
      </x:c>
      <x:c r="O453" s="12" t="str"/>
    </x:row>
    <x:row r="454" ht="32" customHeight="1">
      <x:c r="A454" s="9" t="str">
        <x:v>PAR-0450</x:v>
      </x:c>
      <x:c r="B454" s="9" t="str">
        <x:v>组件</x:v>
      </x:c>
      <x:c r="C454" s="9" t="str">
        <x:v>actions:PDA_00001</x:v>
      </x:c>
      <x:c r="D454" s="9" t="str">
        <x:v>检测视觉大模型</x:v>
      </x:c>
      <x:c r="E454" s="9" t="str">
        <x:v>aiParam.text.confidence</x:v>
      </x:c>
      <x:c r="F454" s="9" t="str">
        <x:v>文字置信度</x:v>
      </x:c>
      <x:c r="G454" s="9" t="str">
        <x:v>bm1688,cv186x,x86</x:v>
      </x:c>
      <x:c r="H454" s="9" t="str">
        <x:v>0.3</x:v>
      </x:c>
      <x:c r="I454" s="9" t="str">
        <x:v>min=; max=; regex=</x:v>
      </x:c>
      <x:c r="J454" s="9" t="str"/>
      <x:c r="K454" s="9" t="str">
        <x:v>文字置信度，范围：0.0~1.0，限小数点后3位</x:v>
      </x:c>
      <x:c r="L454" s="9" t="str">
        <x:v>默认/合法替代/空/非法类型；按已确认范围测min、max及相邻越界；保存回读并验证行为</x:v>
      </x:c>
      <x:c r="M454" s="9" t="str">
        <x:v>FLOW-009</x:v>
      </x:c>
      <x:c r="N454" s="9" t="str">
        <x:v>未执行</x:v>
      </x:c>
      <x:c r="O454" s="12" t="str"/>
    </x:row>
    <x:row r="455" ht="32" customHeight="1">
      <x:c r="A455" s="4" t="str">
        <x:v>PAR-0451</x:v>
      </x:c>
      <x:c r="B455" s="4" t="str">
        <x:v>组件</x:v>
      </x:c>
      <x:c r="C455" s="4" t="str">
        <x:v>actions:PDA_00002</x:v>
      </x:c>
      <x:c r="D455" s="4" t="str">
        <x:v>分割视觉大模型</x:v>
      </x:c>
      <x:c r="E455" s="4" t="str">
        <x:v>atomicCode</x:v>
      </x:c>
      <x:c r="F455" s="4" t="str">
        <x:v>选择原子模型</x:v>
      </x:c>
      <x:c r="G455" s="4" t="str">
        <x:v>bm1688,cv186x,x86</x:v>
      </x:c>
      <x:c r="H455" s="4" t="str"/>
      <x:c r="I455" s="4" t="str">
        <x:v>min=; max=; regex=</x:v>
      </x:c>
      <x:c r="J455" s="4" t="str"/>
      <x:c r="K455" s="4" t="str">
        <x:v>选择原子模型</x:v>
      </x:c>
      <x:c r="L455" s="4" t="str">
        <x:v>默认/合法替代/空/非法类型；按已确认范围测min、max及相邻越界；保存回读并验证行为</x:v>
      </x:c>
      <x:c r="M455" s="4" t="str">
        <x:v>FLOW-009</x:v>
      </x:c>
      <x:c r="N455" s="4" t="str">
        <x:v>未执行</x:v>
      </x:c>
      <x:c r="O455" s="12" t="str"/>
    </x:row>
    <x:row r="456" ht="32" customHeight="1">
      <x:c r="A456" s="9" t="str">
        <x:v>PAR-0452</x:v>
      </x:c>
      <x:c r="B456" s="9" t="str">
        <x:v>组件</x:v>
      </x:c>
      <x:c r="C456" s="9" t="str">
        <x:v>actions:PDA_00002</x:v>
      </x:c>
      <x:c r="D456" s="9" t="str">
        <x:v>分割视觉大模型</x:v>
      </x:c>
      <x:c r="E456" s="9" t="str">
        <x:v>inputType</x:v>
      </x:c>
      <x:c r="F456" s="9" t="str">
        <x:v>输入类型</x:v>
      </x:c>
      <x:c r="G456" s="9" t="str">
        <x:v>bm1688,cv186x,x86</x:v>
      </x:c>
      <x:c r="H456" s="9" t="str">
        <x:v>box</x:v>
      </x:c>
      <x:c r="I456" s="9" t="str">
        <x:v>枚举：box,point</x:v>
      </x:c>
      <x:c r="J456" s="9" t="str"/>
      <x:c r="K456" s="9" t="str">
        <x:v>输入类型</x:v>
      </x:c>
      <x:c r="L456" s="9" t="str">
        <x:v>依次选每个枚举；非法值；保存刷新；触发依赖字段</x:v>
      </x:c>
      <x:c r="M456" s="9" t="str">
        <x:v>FLOW-009</x:v>
      </x:c>
      <x:c r="N456" s="9" t="str">
        <x:v>未执行</x:v>
      </x:c>
      <x:c r="O456" s="12" t="str"/>
    </x:row>
    <x:row r="457" ht="32" customHeight="1">
      <x:c r="A457" s="4" t="str">
        <x:v>PAR-0453</x:v>
      </x:c>
      <x:c r="B457" s="4" t="str">
        <x:v>组件</x:v>
      </x:c>
      <x:c r="C457" s="4" t="str">
        <x:v>actions:PDA_00003</x:v>
      </x:c>
      <x:c r="D457" s="4" t="str">
        <x:v>语言视觉大模型</x:v>
      </x:c>
      <x:c r="E457" s="4" t="str">
        <x:v>vlmProvider</x:v>
      </x:c>
      <x:c r="F457" s="4" t="str">
        <x:v>Inference Mode</x:v>
      </x:c>
      <x:c r="G457" s="4" t="str">
        <x:v>bm1688,cv186x,x86</x:v>
      </x:c>
      <x:c r="H457" s="4" t="str">
        <x:v>local_model</x:v>
      </x:c>
      <x:c r="I457" s="4" t="str">
        <x:v>枚举：local_model,openai_vlm</x:v>
      </x:c>
      <x:c r="J457" s="4" t="str"/>
      <x:c r="K457" s="4" t="str">
        <x:v>Choose local atomic model or OpenAI-compatible API</x:v>
      </x:c>
      <x:c r="L457" s="4" t="str">
        <x:v>依次选每个枚举；非法值；保存刷新；触发依赖字段</x:v>
      </x:c>
      <x:c r="M457" s="4" t="str">
        <x:v>FLOW-009</x:v>
      </x:c>
      <x:c r="N457" s="4" t="str">
        <x:v>未执行</x:v>
      </x:c>
      <x:c r="O457" s="12" t="str"/>
    </x:row>
    <x:row r="458" ht="32" customHeight="1">
      <x:c r="A458" s="9" t="str">
        <x:v>PAR-0454</x:v>
      </x:c>
      <x:c r="B458" s="9" t="str">
        <x:v>组件</x:v>
      </x:c>
      <x:c r="C458" s="9" t="str">
        <x:v>actions:PDA_00003</x:v>
      </x:c>
      <x:c r="D458" s="9" t="str">
        <x:v>语言视觉大模型</x:v>
      </x:c>
      <x:c r="E458" s="9" t="str">
        <x:v>atomicCode</x:v>
      </x:c>
      <x:c r="F458" s="9" t="str">
        <x:v>选择原子模型</x:v>
      </x:c>
      <x:c r="G458" s="9" t="str">
        <x:v>bm1688,cv186x,x86</x:v>
      </x:c>
      <x:c r="H458" s="9" t="str"/>
      <x:c r="I458" s="9" t="str">
        <x:v>min=; max=; regex=</x:v>
      </x:c>
      <x:c r="J458" s="9" t="str">
        <x:v>{"key":"vlmProvider","value":"local_model"}</x:v>
      </x:c>
      <x:c r="K458" s="9" t="str">
        <x:v>选择原子模型</x:v>
      </x:c>
      <x:c r="L458" s="9" t="str">
        <x:v>默认/合法替代/空/非法类型；按已确认范围测min、max及相邻越界；保存回读并验证行为</x:v>
      </x:c>
      <x:c r="M458" s="9" t="str">
        <x:v>FLOW-009</x:v>
      </x:c>
      <x:c r="N458" s="9" t="str">
        <x:v>未执行</x:v>
      </x:c>
      <x:c r="O458" s="12" t="str"/>
    </x:row>
    <x:row r="459" ht="32" customHeight="1">
      <x:c r="A459" s="4" t="str">
        <x:v>PAR-0455</x:v>
      </x:c>
      <x:c r="B459" s="4" t="str">
        <x:v>组件</x:v>
      </x:c>
      <x:c r="C459" s="4" t="str">
        <x:v>actions:PDA_00003</x:v>
      </x:c>
      <x:c r="D459" s="4" t="str">
        <x:v>语言视觉大模型</x:v>
      </x:c>
      <x:c r="E459" s="4" t="str">
        <x:v>openai.base_url</x:v>
      </x:c>
      <x:c r="F459" s="4" t="str">
        <x:v>base_url</x:v>
      </x:c>
      <x:c r="G459" s="4" t="str">
        <x:v>bm1688,cv186x,x86</x:v>
      </x:c>
      <x:c r="H459" s="4" t="str">
        <x:v>http://127.0.0.1:8000/v1</x:v>
      </x:c>
      <x:c r="I459" s="4" t="str">
        <x:v>min=; max=; regex=</x:v>
      </x:c>
      <x:c r="J459" s="4" t="str">
        <x:v>{"key":"vlmProvider","value":"openai_vlm"}</x:v>
      </x:c>
      <x:c r="K459" s="4" t="str">
        <x:v>OpenAI-compatible API base URL, for example http://127.0.0.1:8000/v1</x:v>
      </x:c>
      <x:c r="L459" s="4" t="str">
        <x:v>默认/合法替代/空/非法类型；按已确认范围测min、max及相邻越界；保存回读并验证行为</x:v>
      </x:c>
      <x:c r="M459" s="4" t="str">
        <x:v>FLOW-009</x:v>
      </x:c>
      <x:c r="N459" s="4" t="str">
        <x:v>未执行</x:v>
      </x:c>
      <x:c r="O459" s="12" t="str"/>
    </x:row>
    <x:row r="460" ht="32" customHeight="1">
      <x:c r="A460" s="9" t="str">
        <x:v>PAR-0456</x:v>
      </x:c>
      <x:c r="B460" s="9" t="str">
        <x:v>组件</x:v>
      </x:c>
      <x:c r="C460" s="9" t="str">
        <x:v>actions:PDA_00003</x:v>
      </x:c>
      <x:c r="D460" s="9" t="str">
        <x:v>语言视觉大模型</x:v>
      </x:c>
      <x:c r="E460" s="9" t="str">
        <x:v>openai.api_key</x:v>
      </x:c>
      <x:c r="F460" s="9" t="str">
        <x:v>api_key</x:v>
      </x:c>
      <x:c r="G460" s="9" t="str">
        <x:v>bm1688,cv186x,x86</x:v>
      </x:c>
      <x:c r="H460" s="9" t="str"/>
      <x:c r="I460" s="9" t="str">
        <x:v>min=; max=; regex=</x:v>
      </x:c>
      <x:c r="J460" s="9" t="str">
        <x:v>{"key":"vlmProvider","value":"openai_vlm"}</x:v>
      </x:c>
      <x:c r="K460" s="9" t="str">
        <x:v>OpenAI API key; leave empty when local vLLM authentication is disabled</x:v>
      </x:c>
      <x:c r="L460" s="9" t="str">
        <x:v>默认/合法替代/空/非法类型；按已确认范围测min、max及相邻越界；保存回读并验证行为</x:v>
      </x:c>
      <x:c r="M460" s="9" t="str">
        <x:v>FLOW-009</x:v>
      </x:c>
      <x:c r="N460" s="9" t="str">
        <x:v>未执行</x:v>
      </x:c>
      <x:c r="O460" s="12" t="str"/>
    </x:row>
    <x:row r="461" ht="32" customHeight="1">
      <x:c r="A461" s="4" t="str">
        <x:v>PAR-0457</x:v>
      </x:c>
      <x:c r="B461" s="4" t="str">
        <x:v>组件</x:v>
      </x:c>
      <x:c r="C461" s="4" t="str">
        <x:v>actions:PDA_00003</x:v>
      </x:c>
      <x:c r="D461" s="4" t="str">
        <x:v>语言视觉大模型</x:v>
      </x:c>
      <x:c r="E461" s="4" t="str">
        <x:v>openai.model</x:v>
      </x:c>
      <x:c r="F461" s="4" t="str">
        <x:v>model</x:v>
      </x:c>
      <x:c r="G461" s="4" t="str">
        <x:v>bm1688,cv186x,x86</x:v>
      </x:c>
      <x:c r="H461" s="4" t="str">
        <x:v>Qwen/Qwen3-VL-2B-Instruct</x:v>
      </x:c>
      <x:c r="I461" s="4" t="str">
        <x:v>min=; max=; regex=</x:v>
      </x:c>
      <x:c r="J461" s="4" t="str">
        <x:v>{"key":"vlmProvider","value":"openai_vlm"}</x:v>
      </x:c>
      <x:c r="K461" s="4" t="str">
        <x:v>OpenAI API model name</x:v>
      </x:c>
      <x:c r="L461" s="4" t="str">
        <x:v>默认/合法替代/空/非法类型；按已确认范围测min、max及相邻越界；保存回读并验证行为</x:v>
      </x:c>
      <x:c r="M461" s="4" t="str">
        <x:v>FLOW-009</x:v>
      </x:c>
      <x:c r="N461" s="4" t="str">
        <x:v>未执行</x:v>
      </x:c>
      <x:c r="O461" s="12" t="str"/>
    </x:row>
    <x:row r="462" ht="32" customHeight="1">
      <x:c r="A462" s="9" t="str">
        <x:v>PAR-0458</x:v>
      </x:c>
      <x:c r="B462" s="9" t="str">
        <x:v>组件</x:v>
      </x:c>
      <x:c r="C462" s="9" t="str">
        <x:v>actions:PDA_00003</x:v>
      </x:c>
      <x:c r="D462" s="9" t="str">
        <x:v>语言视觉大模型</x:v>
      </x:c>
      <x:c r="E462" s="9" t="str">
        <x:v>openai.endpoint</x:v>
      </x:c>
      <x:c r="F462" s="9" t="str">
        <x:v>endpoint</x:v>
      </x:c>
      <x:c r="G462" s="9" t="str">
        <x:v>bm1688,cv186x,x86</x:v>
      </x:c>
      <x:c r="H462" s="9" t="str">
        <x:v>/chat/completions</x:v>
      </x:c>
      <x:c r="I462" s="9" t="str">
        <x:v>min=; max=; regex=</x:v>
      </x:c>
      <x:c r="J462" s="9" t="str">
        <x:v>{"key":"vlmProvider","value":"openai_vlm"}</x:v>
      </x:c>
      <x:c r="K462" s="9" t="str">
        <x:v>OpenAI-compatible API path, default /chat/completions</x:v>
      </x:c>
      <x:c r="L462" s="9" t="str">
        <x:v>默认/合法替代/空/非法类型；按已确认范围测min、max及相邻越界；保存回读并验证行为</x:v>
      </x:c>
      <x:c r="M462" s="9" t="str">
        <x:v>FLOW-009</x:v>
      </x:c>
      <x:c r="N462" s="9" t="str">
        <x:v>未执行</x:v>
      </x:c>
      <x:c r="O462" s="12" t="str"/>
    </x:row>
    <x:row r="463" ht="32" customHeight="1">
      <x:c r="A463" s="4" t="str">
        <x:v>PAR-0459</x:v>
      </x:c>
      <x:c r="B463" s="4" t="str">
        <x:v>组件</x:v>
      </x:c>
      <x:c r="C463" s="4" t="str">
        <x:v>actions:PDA_00003</x:v>
      </x:c>
      <x:c r="D463" s="4" t="str">
        <x:v>语言视觉大模型</x:v>
      </x:c>
      <x:c r="E463" s="4" t="str">
        <x:v>openai.timeout_ms</x:v>
      </x:c>
      <x:c r="F463" s="4" t="str">
        <x:v>timeout_ms</x:v>
      </x:c>
      <x:c r="G463" s="4" t="str">
        <x:v>bm1688,cv186x,x86</x:v>
      </x:c>
      <x:c r="H463" s="4" t="str">
        <x:v>60000</x:v>
      </x:c>
      <x:c r="I463" s="4" t="str">
        <x:v>min=; max=; regex=</x:v>
      </x:c>
      <x:c r="J463" s="4" t="str">
        <x:v>{"key":"vlmProvider","value":"openai_vlm"}</x:v>
      </x:c>
      <x:c r="K463" s="4" t="str">
        <x:v>Request timeout in milliseconds</x:v>
      </x:c>
      <x:c r="L463" s="4" t="str">
        <x:v>默认/合法替代/空/非法类型；按已确认范围测min、max及相邻越界；保存回读并验证行为</x:v>
      </x:c>
      <x:c r="M463" s="4" t="str">
        <x:v>FLOW-009</x:v>
      </x:c>
      <x:c r="N463" s="4" t="str">
        <x:v>未执行</x:v>
      </x:c>
      <x:c r="O463" s="12" t="str"/>
    </x:row>
    <x:row r="464" ht="32" customHeight="1">
      <x:c r="A464" s="9" t="str">
        <x:v>PAR-0460</x:v>
      </x:c>
      <x:c r="B464" s="9" t="str">
        <x:v>组件</x:v>
      </x:c>
      <x:c r="C464" s="9" t="str">
        <x:v>actions:PDA_00003</x:v>
      </x:c>
      <x:c r="D464" s="9" t="str">
        <x:v>语言视觉大模型</x:v>
      </x:c>
      <x:c r="E464" s="9" t="str">
        <x:v>openai.max_tokens</x:v>
      </x:c>
      <x:c r="F464" s="9" t="str">
        <x:v>max_tokens</x:v>
      </x:c>
      <x:c r="G464" s="9" t="str">
        <x:v>bm1688,cv186x,x86</x:v>
      </x:c>
      <x:c r="H464" s="9" t="str">
        <x:v>256</x:v>
      </x:c>
      <x:c r="I464" s="9" t="str">
        <x:v>min=; max=; regex=</x:v>
      </x:c>
      <x:c r="J464" s="9" t="str">
        <x:v>{"key":"vlmProvider","value":"openai_vlm"}</x:v>
      </x:c>
      <x:c r="K464" s="9" t="str">
        <x:v>Maximum output token count</x:v>
      </x:c>
      <x:c r="L464" s="9" t="str">
        <x:v>默认/合法替代/空/非法类型；按已确认范围测min、max及相邻越界；保存回读并验证行为</x:v>
      </x:c>
      <x:c r="M464" s="9" t="str">
        <x:v>FLOW-009</x:v>
      </x:c>
      <x:c r="N464" s="9" t="str">
        <x:v>未执行</x:v>
      </x:c>
      <x:c r="O464" s="12" t="str"/>
    </x:row>
    <x:row r="465" ht="55" customHeight="1">
      <x:c r="A465" s="4" t="str">
        <x:v>PAR-0461</x:v>
      </x:c>
      <x:c r="B465" s="4" t="str">
        <x:v>组件</x:v>
      </x:c>
      <x:c r="C465" s="4" t="str">
        <x:v>actions:PDA_00003</x:v>
      </x:c>
      <x:c r="D465" s="4" t="str">
        <x:v>语言视觉大模型</x:v>
      </x:c>
      <x:c r="E465" s="4" t="str">
        <x:v>advanced_mode</x:v>
      </x:c>
      <x:c r="F465" s="4" t="str">
        <x:v>高级提示词模式</x:v>
      </x:c>
      <x:c r="G465" s="4" t="str">
        <x:v>bm1688,cv186x,x86</x:v>
      </x:c>
      <x:c r="H465" s="4" t="str">
        <x:v>0</x:v>
      </x:c>
      <x:c r="I465" s="4" t="str">
        <x:v>min=; max=; regex=</x:v>
      </x:c>
      <x:c r="J465" s="4" t="str"/>
      <x:c r="K465" s="4" t="str">
        <x:v>开启高级模式可完整自定义前半段提示词。不开启(如输入：安全帽)，实际为“判断图片中是否存在【安全帽】目标，回答...”；开启(如输入：判断画面有无安全帽)，实际为“判断画面有无安全帽，回答...”</x:v>
      </x:c>
      <x:c r="L465" s="4" t="str">
        <x:v>默认/合法替代/空/非法类型；按已确认范围测min、max及相邻越界；保存回读并验证行为</x:v>
      </x:c>
      <x:c r="M465" s="4" t="str">
        <x:v>FLOW-009</x:v>
      </x:c>
      <x:c r="N465" s="4" t="str">
        <x:v>未执行</x:v>
      </x:c>
      <x:c r="O465" s="12" t="str"/>
    </x:row>
    <x:row r="466" ht="32" customHeight="1">
      <x:c r="A466" s="9" t="str">
        <x:v>PAR-0462</x:v>
      </x:c>
      <x:c r="B466" s="9" t="str">
        <x:v>组件</x:v>
      </x:c>
      <x:c r="C466" s="9" t="str">
        <x:v>actions:PDA_00003</x:v>
      </x:c>
      <x:c r="D466" s="9" t="str">
        <x:v>语言视觉大模型</x:v>
      </x:c>
      <x:c r="E466" s="9" t="str">
        <x:v>keywords</x:v>
      </x:c>
      <x:c r="F466" s="9" t="str">
        <x:v>提示词</x:v>
      </x:c>
      <x:c r="G466" s="9" t="str">
        <x:v>bm1688,cv186x,x86</x:v>
      </x:c>
      <x:c r="H466" s="9" t="str"/>
      <x:c r="I466" s="9" t="str">
        <x:v>min=; max=; regex=</x:v>
      </x:c>
      <x:c r="J466" s="9" t="str"/>
      <x:c r="K466" s="9" t="str">
        <x:v>输入提示词</x:v>
      </x:c>
      <x:c r="L466" s="9" t="str">
        <x:v>默认/合法替代/空/非法类型；按已确认范围测min、max及相邻越界；保存回读并验证行为</x:v>
      </x:c>
      <x:c r="M466" s="9" t="str">
        <x:v>FLOW-009</x:v>
      </x:c>
      <x:c r="N466" s="9" t="str">
        <x:v>未执行</x:v>
      </x:c>
      <x:c r="O466" s="12" t="str"/>
    </x:row>
    <x:row r="467" ht="32" customHeight="1">
      <x:c r="A467" s="4" t="str">
        <x:v>PAR-0463</x:v>
      </x:c>
      <x:c r="B467" s="4" t="str">
        <x:v>组件</x:v>
      </x:c>
      <x:c r="C467" s="4" t="str">
        <x:v>actions:PDA_00003</x:v>
      </x:c>
      <x:c r="D467" s="4" t="str">
        <x:v>语言视觉大模型</x:v>
      </x:c>
      <x:c r="E467" s="4" t="str">
        <x:v>generationStyle</x:v>
      </x:c>
      <x:c r="F467" s="4" t="str">
        <x:v>生成风格</x:v>
      </x:c>
      <x:c r="G467" s="4" t="str">
        <x:v>bm1688,cv186x,x86</x:v>
      </x:c>
      <x:c r="H467" s="4" t="str">
        <x:v>standard</x:v>
      </x:c>
      <x:c r="I467" s="4" t="str">
        <x:v>枚举：strict,standard,creative,custom</x:v>
      </x:c>
      <x:c r="J467" s="4" t="str"/>
      <x:c r="K467" s="4" t="str">
        <x:v>生成风格</x:v>
      </x:c>
      <x:c r="L467" s="4" t="str">
        <x:v>依次选每个枚举；非法值；保存刷新；触发依赖字段</x:v>
      </x:c>
      <x:c r="M467" s="4" t="str">
        <x:v>FLOW-009</x:v>
      </x:c>
      <x:c r="N467" s="4" t="str">
        <x:v>未执行</x:v>
      </x:c>
      <x:c r="O467" s="12" t="str"/>
    </x:row>
    <x:row r="468" ht="32" customHeight="1">
      <x:c r="A468" s="9" t="str">
        <x:v>PAR-0464</x:v>
      </x:c>
      <x:c r="B468" s="9" t="str">
        <x:v>组件</x:v>
      </x:c>
      <x:c r="C468" s="9" t="str">
        <x:v>actions:PDA_00003</x:v>
      </x:c>
      <x:c r="D468" s="9" t="str">
        <x:v>语言视觉大模型</x:v>
      </x:c>
      <x:c r="E468" s="9" t="str">
        <x:v>doSample</x:v>
      </x:c>
      <x:c r="F468" s="9" t="str">
        <x:v>do_sample</x:v>
      </x:c>
      <x:c r="G468" s="9" t="str">
        <x:v>bm1688,cv186x,x86</x:v>
      </x:c>
      <x:c r="H468" s="9" t="str">
        <x:v>1</x:v>
      </x:c>
      <x:c r="I468" s="9" t="str">
        <x:v>min=; max=; regex=</x:v>
      </x:c>
      <x:c r="J468" s="9" t="str">
        <x:v>{"key":"generationStyle","value":"custom"}</x:v>
      </x:c>
      <x:c r="K468" s="9" t="str">
        <x:v>启用随机采样</x:v>
      </x:c>
      <x:c r="L468" s="9" t="str">
        <x:v>默认/合法替代/空/非法类型；按已确认范围测min、max及相邻越界；保存回读并验证行为</x:v>
      </x:c>
      <x:c r="M468" s="9" t="str">
        <x:v>FLOW-009</x:v>
      </x:c>
      <x:c r="N468" s="9" t="str">
        <x:v>未执行</x:v>
      </x:c>
      <x:c r="O468" s="12" t="str"/>
    </x:row>
    <x:row r="469" ht="32" customHeight="1">
      <x:c r="A469" s="4" t="str">
        <x:v>PAR-0465</x:v>
      </x:c>
      <x:c r="B469" s="4" t="str">
        <x:v>组件</x:v>
      </x:c>
      <x:c r="C469" s="4" t="str">
        <x:v>actions:PDA_00003</x:v>
      </x:c>
      <x:c r="D469" s="4" t="str">
        <x:v>语言视觉大模型</x:v>
      </x:c>
      <x:c r="E469" s="4" t="str">
        <x:v>topK</x:v>
      </x:c>
      <x:c r="F469" s="4" t="str">
        <x:v>top_k</x:v>
      </x:c>
      <x:c r="G469" s="4" t="str">
        <x:v>bm1688,cv186x,x86</x:v>
      </x:c>
      <x:c r="H469" s="4" t="str">
        <x:v>20</x:v>
      </x:c>
      <x:c r="I469" s="4" t="str">
        <x:v>min=; max=; regex=</x:v>
      </x:c>
      <x:c r="J469" s="4" t="str">
        <x:v>{"key":"generationStyle","value":"custom"}</x:v>
      </x:c>
      <x:c r="K469" s="4" t="str">
        <x:v>每一步只从概率最高的 K 个 token 里选，范围：1~100，默认：20</x:v>
      </x:c>
      <x:c r="L469" s="4" t="str">
        <x:v>默认/合法替代/空/非法类型；按已确认范围测min、max及相邻越界；保存回读并验证行为</x:v>
      </x:c>
      <x:c r="M469" s="4" t="str">
        <x:v>FLOW-009</x:v>
      </x:c>
      <x:c r="N469" s="4" t="str">
        <x:v>未执行</x:v>
      </x:c>
      <x:c r="O469" s="12" t="str"/>
    </x:row>
    <x:row r="470" ht="32" customHeight="1">
      <x:c r="A470" s="9" t="str">
        <x:v>PAR-0466</x:v>
      </x:c>
      <x:c r="B470" s="9" t="str">
        <x:v>组件</x:v>
      </x:c>
      <x:c r="C470" s="9" t="str">
        <x:v>actions:PDA_00003</x:v>
      </x:c>
      <x:c r="D470" s="9" t="str">
        <x:v>语言视觉大模型</x:v>
      </x:c>
      <x:c r="E470" s="9" t="str">
        <x:v>topP</x:v>
      </x:c>
      <x:c r="F470" s="9" t="str">
        <x:v>top_p</x:v>
      </x:c>
      <x:c r="G470" s="9" t="str">
        <x:v>bm1688,cv186x,x86</x:v>
      </x:c>
      <x:c r="H470" s="9" t="str">
        <x:v>0.8</x:v>
      </x:c>
      <x:c r="I470" s="9" t="str">
        <x:v>min=; max=; regex=</x:v>
      </x:c>
      <x:c r="J470" s="9" t="str">
        <x:v>{"key":"generationStyle","value":"custom"}</x:v>
      </x:c>
      <x:c r="K470" s="9" t="str">
        <x:v>只在累计概率 ≤ top_p 的 token 集合中采样，范围：0.1~1.0，默认：0.8</x:v>
      </x:c>
      <x:c r="L470" s="9" t="str">
        <x:v>默认/合法替代/空/非法类型；按已确认范围测min、max及相邻越界；保存回读并验证行为</x:v>
      </x:c>
      <x:c r="M470" s="9" t="str">
        <x:v>FLOW-009</x:v>
      </x:c>
      <x:c r="N470" s="9" t="str">
        <x:v>未执行</x:v>
      </x:c>
      <x:c r="O470" s="12" t="str"/>
    </x:row>
    <x:row r="471" ht="32" customHeight="1">
      <x:c r="A471" s="4" t="str">
        <x:v>PAR-0467</x:v>
      </x:c>
      <x:c r="B471" s="4" t="str">
        <x:v>组件</x:v>
      </x:c>
      <x:c r="C471" s="4" t="str">
        <x:v>actions:PDA_00003</x:v>
      </x:c>
      <x:c r="D471" s="4" t="str">
        <x:v>语言视觉大模型</x:v>
      </x:c>
      <x:c r="E471" s="4" t="str">
        <x:v>temperature</x:v>
      </x:c>
      <x:c r="F471" s="4" t="str">
        <x:v>temperature</x:v>
      </x:c>
      <x:c r="G471" s="4" t="str">
        <x:v>bm1688,cv186x,x86</x:v>
      </x:c>
      <x:c r="H471" s="4" t="str">
        <x:v>0.7</x:v>
      </x:c>
      <x:c r="I471" s="4" t="str">
        <x:v>min=; max=; regex=</x:v>
      </x:c>
      <x:c r="J471" s="4" t="str">
        <x:v>{"key":"generationStyle","value":"custom"}</x:v>
      </x:c>
      <x:c r="K471" s="4" t="str">
        <x:v>回答发散度，数值越低，回答越严谨、越稳定，范围：0.0~2.0，默认：0.7</x:v>
      </x:c>
      <x:c r="L471" s="4" t="str">
        <x:v>默认/合法替代/空/非法类型；按已确认范围测min、max及相邻越界；保存回读并验证行为</x:v>
      </x:c>
      <x:c r="M471" s="4" t="str">
        <x:v>FLOW-009</x:v>
      </x:c>
      <x:c r="N471" s="4" t="str">
        <x:v>未执行</x:v>
      </x:c>
      <x:c r="O471" s="12" t="str"/>
    </x:row>
    <x:row r="472" ht="32" customHeight="1">
      <x:c r="A472" s="9" t="str">
        <x:v>PAR-0468</x:v>
      </x:c>
      <x:c r="B472" s="9" t="str">
        <x:v>组件</x:v>
      </x:c>
      <x:c r="C472" s="9" t="str">
        <x:v>actions:PDA_00003</x:v>
      </x:c>
      <x:c r="D472" s="9" t="str">
        <x:v>语言视觉大模型</x:v>
      </x:c>
      <x:c r="E472" s="9" t="str">
        <x:v>inputType</x:v>
      </x:c>
      <x:c r="F472" s="9" t="str">
        <x:v>判断输入</x:v>
      </x:c>
      <x:c r="G472" s="9" t="str">
        <x:v>bm1688,cv186x,x86</x:v>
      </x:c>
      <x:c r="H472" s="9" t="str">
        <x:v>image</x:v>
      </x:c>
      <x:c r="I472" s="9" t="str">
        <x:v>枚举：image,targets</x:v>
      </x:c>
      <x:c r="J472" s="9" t="str"/>
      <x:c r="K472" s="9" t="str"/>
      <x:c r="L472" s="9" t="str">
        <x:v>依次选每个枚举；非法值；保存刷新；触发依赖字段</x:v>
      </x:c>
      <x:c r="M472" s="9" t="str">
        <x:v>FLOW-009</x:v>
      </x:c>
      <x:c r="N472" s="9" t="str">
        <x:v>未执行</x:v>
      </x:c>
      <x:c r="O472" s="12" t="str"/>
    </x:row>
    <x:row r="473" ht="32" customHeight="1">
      <x:c r="A473" s="4" t="str">
        <x:v>PAR-0469</x:v>
      </x:c>
      <x:c r="B473" s="4" t="str">
        <x:v>组件</x:v>
      </x:c>
      <x:c r="C473" s="4" t="str">
        <x:v>actions:PA_00004</x:v>
      </x:c>
      <x:c r="D473" s="4" t="str">
        <x:v>图片关键点</x:v>
      </x:c>
      <x:c r="E473" s="4" t="str">
        <x:v>atomicCode</x:v>
      </x:c>
      <x:c r="F473" s="4" t="str">
        <x:v>选择人脸关键点模型</x:v>
      </x:c>
      <x:c r="G473" s="4" t="str">
        <x:v>bm1688,cv186x,x86</x:v>
      </x:c>
      <x:c r="H473" s="4" t="str">
        <x:v>1000016</x:v>
      </x:c>
      <x:c r="I473" s="4" t="str">
        <x:v>min=; max=; regex=</x:v>
      </x:c>
      <x:c r="J473" s="4" t="str"/>
      <x:c r="K473" s="4" t="str">
        <x:v>选择原子模型</x:v>
      </x:c>
      <x:c r="L473" s="4" t="str">
        <x:v>默认/合法替代/空/非法类型；按已确认范围测min、max及相邻越界；保存回读并验证行为</x:v>
      </x:c>
      <x:c r="M473" s="4" t="str">
        <x:v>FLOW-009</x:v>
      </x:c>
      <x:c r="N473" s="4" t="str">
        <x:v>未执行</x:v>
      </x:c>
      <x:c r="O473" s="12" t="str"/>
    </x:row>
    <x:row r="474" ht="32" customHeight="1">
      <x:c r="A474" s="9" t="str">
        <x:v>PAR-0470</x:v>
      </x:c>
      <x:c r="B474" s="9" t="str">
        <x:v>组件</x:v>
      </x:c>
      <x:c r="C474" s="9" t="str">
        <x:v>actions:PA_00011</x:v>
      </x:c>
      <x:c r="D474" s="9" t="str">
        <x:v>图片文字识别</x:v>
      </x:c>
      <x:c r="E474" s="9" t="str">
        <x:v>atomicCode</x:v>
      </x:c>
      <x:c r="F474" s="9" t="str">
        <x:v>选择 OCR 模型</x:v>
      </x:c>
      <x:c r="G474" s="9" t="str">
        <x:v>bm1688,cv186x,x86</x:v>
      </x:c>
      <x:c r="H474" s="9" t="str"/>
      <x:c r="I474" s="9" t="str">
        <x:v>min=; max=; regex=</x:v>
      </x:c>
      <x:c r="J474" s="9" t="str"/>
      <x:c r="K474" s="9" t="str">
        <x:v>选择 OCR 原子模型</x:v>
      </x:c>
      <x:c r="L474" s="9" t="str">
        <x:v>默认/合法替代/空/非法类型；按已确认范围测min、max及相邻越界；保存回读并验证行为</x:v>
      </x:c>
      <x:c r="M474" s="9" t="str">
        <x:v>FLOW-009</x:v>
      </x:c>
      <x:c r="N474" s="9" t="str">
        <x:v>未执行</x:v>
      </x:c>
      <x:c r="O474" s="12" t="str"/>
    </x:row>
    <x:row r="475" ht="32" customHeight="1">
      <x:c r="A475" s="4" t="str">
        <x:v>PAR-0471</x:v>
      </x:c>
      <x:c r="B475" s="4" t="str">
        <x:v>组件</x:v>
      </x:c>
      <x:c r="C475" s="4" t="str">
        <x:v>actions:PB_00002</x:v>
      </x:c>
      <x:c r="D475" s="4" t="str">
        <x:v>图片目标筛选</x:v>
      </x:c>
      <x:c r="E475" s="4" t="str"/>
      <x:c r="F475" s="4" t="str">
        <x:v>标签参数</x:v>
      </x:c>
      <x:c r="G475" s="4" t="str">
        <x:v>bm1688,cv186x,x86</x:v>
      </x:c>
      <x:c r="H475" s="4" t="str"/>
      <x:c r="I475" s="4" t="str">
        <x:v>min=; max=; regex=</x:v>
      </x:c>
      <x:c r="J475" s="4" t="str"/>
      <x:c r="K475" s="4" t="str"/>
      <x:c r="L475" s="4" t="str">
        <x:v>默认/合法替代/空/非法类型；按已确认范围测min、max及相邻越界；保存回读并验证行为</x:v>
      </x:c>
      <x:c r="M475" s="4" t="str">
        <x:v>FLOW-009</x:v>
      </x:c>
      <x:c r="N475" s="4" t="str">
        <x:v>未执行</x:v>
      </x:c>
      <x:c r="O475" s="12" t="str"/>
    </x:row>
    <x:row r="476" ht="32" customHeight="1">
      <x:c r="A476" s="9" t="str">
        <x:v>PAR-0472</x:v>
      </x:c>
      <x:c r="B476" s="9" t="str">
        <x:v>组件</x:v>
      </x:c>
      <x:c r="C476" s="9" t="str">
        <x:v>actions:PB_90003</x:v>
      </x:c>
      <x:c r="D476" s="9" t="str">
        <x:v>整图判断</x:v>
      </x:c>
      <x:c r="E476" s="9" t="str">
        <x:v>condition</x:v>
      </x:c>
      <x:c r="F476" s="9" t="str">
        <x:v>条件配置</x:v>
      </x:c>
      <x:c r="G476" s="9" t="str">
        <x:v>bm1688,cv186x,x86</x:v>
      </x:c>
      <x:c r="H476" s="9" t="str"/>
      <x:c r="I476" s="9" t="str">
        <x:v>min=; max=; regex=</x:v>
      </x:c>
      <x:c r="J476" s="9" t="str"/>
      <x:c r="K476" s="9" t="str">
        <x:v>配置条件使其结果为真，并运行下面的动作</x:v>
      </x:c>
      <x:c r="L476" s="9" t="str">
        <x:v>默认/合法替代/空/非法类型；按已确认范围测min、max及相邻越界；保存回读并验证行为</x:v>
      </x:c>
      <x:c r="M476" s="9" t="str">
        <x:v>FLOW-009</x:v>
      </x:c>
      <x:c r="N476" s="9" t="str">
        <x:v>未执行</x:v>
      </x:c>
      <x:c r="O476" s="12" t="str"/>
    </x:row>
    <x:row r="477" ht="32" customHeight="1">
      <x:c r="A477" s="4" t="str">
        <x:v>PAR-0473</x:v>
      </x:c>
      <x:c r="B477" s="4" t="str">
        <x:v>组件</x:v>
      </x:c>
      <x:c r="C477" s="4" t="str">
        <x:v>actions:PB_90002</x:v>
      </x:c>
      <x:c r="D477" s="4" t="str">
        <x:v>条件分支</x:v>
      </x:c>
      <x:c r="E477" s="4" t="str">
        <x:v>condition</x:v>
      </x:c>
      <x:c r="F477" s="4" t="str">
        <x:v>条件配置</x:v>
      </x:c>
      <x:c r="G477" s="4" t="str">
        <x:v>bm1688,cv186x,x86</x:v>
      </x:c>
      <x:c r="H477" s="4" t="str"/>
      <x:c r="I477" s="4" t="str">
        <x:v>min=; max=; regex=</x:v>
      </x:c>
      <x:c r="J477" s="4" t="str"/>
      <x:c r="K477" s="4" t="str">
        <x:v>配置条件使其结果为真，并运行下面的动作</x:v>
      </x:c>
      <x:c r="L477" s="4" t="str">
        <x:v>默认/合法替代/空/非法类型；按已确认范围测min、max及相邻越界；保存回读并验证行为</x:v>
      </x:c>
      <x:c r="M477" s="4" t="str">
        <x:v>FLOW-009</x:v>
      </x:c>
      <x:c r="N477" s="4" t="str">
        <x:v>未执行</x:v>
      </x:c>
      <x:c r="O477" s="12" t="str"/>
    </x:row>
    <x:row r="478" ht="32" customHeight="1">
      <x:c r="A478" s="9" t="str">
        <x:v>PAR-0474</x:v>
      </x:c>
      <x:c r="B478" s="9" t="str">
        <x:v>组件</x:v>
      </x:c>
      <x:c r="C478" s="9" t="str">
        <x:v>actions:PB_00004</x:v>
      </x:c>
      <x:c r="D478" s="9" t="str">
        <x:v>图片结果输出</x:v>
      </x:c>
      <x:c r="E478" s="9" t="str">
        <x:v>output.name</x:v>
      </x:c>
      <x:c r="F478" s="9" t="str">
        <x:v>结果名称</x:v>
      </x:c>
      <x:c r="G478" s="9" t="str">
        <x:v>bm1688,cv186x,x86</x:v>
      </x:c>
      <x:c r="H478" s="9" t="str"/>
      <x:c r="I478" s="9" t="str">
        <x:v>min=; max=; regex=</x:v>
      </x:c>
      <x:c r="J478" s="9" t="str"/>
      <x:c r="K478" s="9" t="str"/>
      <x:c r="L478" s="9" t="str">
        <x:v>默认/合法替代/空/非法类型；按已确认范围测min、max及相邻越界；保存回读并验证行为</x:v>
      </x:c>
      <x:c r="M478" s="9" t="str">
        <x:v>FLOW-009</x:v>
      </x:c>
      <x:c r="N478" s="9" t="str">
        <x:v>未执行</x:v>
      </x:c>
      <x:c r="O478" s="12" t="str"/>
    </x:row>
    <x:row r="479" ht="32" customHeight="1">
      <x:c r="A479" s="4" t="str">
        <x:v>PAR-0475</x:v>
      </x:c>
      <x:c r="B479" s="4" t="str">
        <x:v>组件</x:v>
      </x:c>
      <x:c r="C479" s="4" t="str">
        <x:v>actions:PB_00004</x:v>
      </x:c>
      <x:c r="D479" s="4" t="str">
        <x:v>图片结果输出</x:v>
      </x:c>
      <x:c r="E479" s="4" t="str">
        <x:v>output.targets</x:v>
      </x:c>
      <x:c r="F479" s="4" t="str">
        <x:v>返回目标</x:v>
      </x:c>
      <x:c r="G479" s="4" t="str">
        <x:v>bm1688,cv186x,x86</x:v>
      </x:c>
      <x:c r="H479" s="4" t="str">
        <x:v>matched</x:v>
      </x:c>
      <x:c r="I479" s="4" t="str">
        <x:v>枚举：matched,all</x:v>
      </x:c>
      <x:c r="J479" s="4" t="str"/>
      <x:c r="K479" s="4" t="str"/>
      <x:c r="L479" s="4" t="str">
        <x:v>依次选每个枚举；非法值；保存刷新；触发依赖字段</x:v>
      </x:c>
      <x:c r="M479" s="4" t="str">
        <x:v>FLOW-009</x:v>
      </x:c>
      <x:c r="N479" s="4" t="str">
        <x:v>未执行</x:v>
      </x:c>
      <x:c r="O479" s="12" t="str"/>
    </x:row>
    <x:row r="480" ht="32" customHeight="1">
      <x:c r="A480" s="9" t="str">
        <x:v>PAR-0476</x:v>
      </x:c>
      <x:c r="B480" s="9" t="str">
        <x:v>组件</x:v>
      </x:c>
      <x:c r="C480" s="9" t="str">
        <x:v>actions:PB_00006</x:v>
      </x:c>
      <x:c r="D480" s="9" t="str">
        <x:v>图片库比对</x:v>
      </x:c>
      <x:c r="E480" s="9" t="str">
        <x:v>match.libraryType</x:v>
      </x:c>
      <x:c r="F480" s="9" t="str">
        <x:v>比对库类型</x:v>
      </x:c>
      <x:c r="G480" s="9" t="str">
        <x:v>bm1688,cv186x,x86</x:v>
      </x:c>
      <x:c r="H480" s="9" t="str">
        <x:v>face</x:v>
      </x:c>
      <x:c r="I480" s="9" t="str">
        <x:v>枚举：face,body</x:v>
      </x:c>
      <x:c r="J480" s="9" t="str"/>
      <x:c r="K480" s="9" t="str"/>
      <x:c r="L480" s="9" t="str">
        <x:v>依次选每个枚举；非法值；保存刷新；触发依赖字段</x:v>
      </x:c>
      <x:c r="M480" s="9" t="str">
        <x:v>FLOW-009</x:v>
      </x:c>
      <x:c r="N480" s="9" t="str">
        <x:v>未执行</x:v>
      </x:c>
      <x:c r="O480" s="12" t="str"/>
    </x:row>
    <x:row r="481" ht="32" customHeight="1">
      <x:c r="A481" s="4" t="str">
        <x:v>PAR-0477</x:v>
      </x:c>
      <x:c r="B481" s="4" t="str">
        <x:v>组件</x:v>
      </x:c>
      <x:c r="C481" s="4" t="str">
        <x:v>actions:PB_00006</x:v>
      </x:c>
      <x:c r="D481" s="4" t="str">
        <x:v>图片库比对</x:v>
      </x:c>
      <x:c r="E481" s="4" t="str">
        <x:v>match.mode</x:v>
      </x:c>
      <x:c r="F481" s="4" t="str">
        <x:v>判断方式</x:v>
      </x:c>
      <x:c r="G481" s="4" t="str">
        <x:v>bm1688,cv186x,x86</x:v>
      </x:c>
      <x:c r="H481" s="4" t="str">
        <x:v>matched</x:v>
      </x:c>
      <x:c r="I481" s="4" t="str">
        <x:v>枚举：matched,unmatched</x:v>
      </x:c>
      <x:c r="J481" s="4" t="str"/>
      <x:c r="K481" s="4" t="str"/>
      <x:c r="L481" s="4" t="str">
        <x:v>依次选每个枚举；非法值；保存刷新；触发依赖字段</x:v>
      </x:c>
      <x:c r="M481" s="4" t="str">
        <x:v>FLOW-009</x:v>
      </x:c>
      <x:c r="N481" s="4" t="str">
        <x:v>未执行</x:v>
      </x:c>
      <x:c r="O481" s="12" t="str"/>
    </x:row>
    <x:row r="482" ht="32" customHeight="1">
      <x:c r="A482" s="9" t="str">
        <x:v>PAR-0478</x:v>
      </x:c>
      <x:c r="B482" s="9" t="str">
        <x:v>组件</x:v>
      </x:c>
      <x:c r="C482" s="9" t="str">
        <x:v>actions:PB_00006</x:v>
      </x:c>
      <x:c r="D482" s="9" t="str">
        <x:v>图片库比对</x:v>
      </x:c>
      <x:c r="E482" s="9" t="str">
        <x:v>param.faceSet</x:v>
      </x:c>
      <x:c r="F482" s="9" t="str">
        <x:v>人脸库</x:v>
      </x:c>
      <x:c r="G482" s="9" t="str">
        <x:v>bm1688,cv186x,x86</x:v>
      </x:c>
      <x:c r="H482" s="9" t="str"/>
      <x:c r="I482" s="9" t="str">
        <x:v>min=; max=; regex=</x:v>
      </x:c>
      <x:c r="J482" s="9" t="str"/>
      <x:c r="K482" s="9" t="str"/>
      <x:c r="L482" s="9" t="str">
        <x:v>默认/合法替代/空/非法类型；按已确认范围测min、max及相邻越界；保存回读并验证行为</x:v>
      </x:c>
      <x:c r="M482" s="9" t="str">
        <x:v>FLOW-009</x:v>
      </x:c>
      <x:c r="N482" s="9" t="str">
        <x:v>未执行</x:v>
      </x:c>
      <x:c r="O482" s="12" t="str"/>
    </x:row>
    <x:row r="483" ht="32" customHeight="1">
      <x:c r="A483" s="4" t="str">
        <x:v>PAR-0479</x:v>
      </x:c>
      <x:c r="B483" s="4" t="str">
        <x:v>组件</x:v>
      </x:c>
      <x:c r="C483" s="4" t="str">
        <x:v>actions:PB_00006</x:v>
      </x:c>
      <x:c r="D483" s="4" t="str">
        <x:v>图片库比对</x:v>
      </x:c>
      <x:c r="E483" s="4" t="str">
        <x:v>param.workClothesSet</x:v>
      </x:c>
      <x:c r="F483" s="4" t="str">
        <x:v>工服库</x:v>
      </x:c>
      <x:c r="G483" s="4" t="str">
        <x:v>bm1688,cv186x,x86</x:v>
      </x:c>
      <x:c r="H483" s="4" t="str"/>
      <x:c r="I483" s="4" t="str">
        <x:v>min=; max=; regex=</x:v>
      </x:c>
      <x:c r="J483" s="4" t="str"/>
      <x:c r="K483" s="4" t="str"/>
      <x:c r="L483" s="4" t="str">
        <x:v>默认/合法替代/空/非法类型；按已确认范围测min、max及相邻越界；保存回读并验证行为</x:v>
      </x:c>
      <x:c r="M483" s="4" t="str">
        <x:v>FLOW-009</x:v>
      </x:c>
      <x:c r="N483" s="4" t="str">
        <x:v>未执行</x:v>
      </x:c>
      <x:c r="O483" s="12" t="str"/>
    </x:row>
    <x:row r="484" ht="32" customHeight="1">
      <x:c r="A484" s="9" t="str">
        <x:v>PAR-0480</x:v>
      </x:c>
      <x:c r="B484" s="9" t="str">
        <x:v>组件</x:v>
      </x:c>
      <x:c r="C484" s="9" t="str">
        <x:v>actions:PB_00006</x:v>
      </x:c>
      <x:c r="D484" s="9" t="str">
        <x:v>图片库比对</x:v>
      </x:c>
      <x:c r="E484" s="9" t="str">
        <x:v>param.limitScore</x:v>
      </x:c>
      <x:c r="F484" s="9" t="str">
        <x:v>比对阈值（0–100）</x:v>
      </x:c>
      <x:c r="G484" s="9" t="str">
        <x:v>bm1688,cv186x,x86</x:v>
      </x:c>
      <x:c r="H484" s="9" t="str">
        <x:v>80</x:v>
      </x:c>
      <x:c r="I484" s="9" t="str">
        <x:v>min=; max=; regex=</x:v>
      </x:c>
      <x:c r="J484" s="9" t="str"/>
      <x:c r="K484" s="9" t="str"/>
      <x:c r="L484" s="9" t="str">
        <x:v>默认/合法替代/空/非法类型；按已确认范围测min、max及相邻越界；保存回读并验证行为</x:v>
      </x:c>
      <x:c r="M484" s="9" t="str">
        <x:v>FLOW-009</x:v>
      </x:c>
      <x:c r="N484" s="9" t="str">
        <x:v>未执行</x:v>
      </x:c>
      <x:c r="O484" s="12" t="str"/>
    </x:row>
    <x:row r="485" ht="32" customHeight="1">
      <x:c r="A485" s="4" t="str">
        <x:v>PAR-0481</x:v>
      </x:c>
      <x:c r="B485" s="4" t="str">
        <x:v>组件</x:v>
      </x:c>
      <x:c r="C485" s="4" t="str">
        <x:v>actions:PB_00007</x:v>
      </x:c>
      <x:c r="D485" s="4" t="str">
        <x:v>双图特征比对</x:v>
      </x:c>
      <x:c r="E485" s="4" t="str">
        <x:v>pair.featureType</x:v>
      </x:c>
      <x:c r="F485" s="4" t="str">
        <x:v>特征类型</x:v>
      </x:c>
      <x:c r="G485" s="4" t="str">
        <x:v>bm1688,cv186x,x86</x:v>
      </x:c>
      <x:c r="H485" s="4" t="str">
        <x:v>face</x:v>
      </x:c>
      <x:c r="I485" s="4" t="str">
        <x:v>枚举：face,body</x:v>
      </x:c>
      <x:c r="J485" s="4" t="str"/>
      <x:c r="K485" s="4" t="str"/>
      <x:c r="L485" s="4" t="str">
        <x:v>依次选每个枚举；非法值；保存刷新；触发依赖字段</x:v>
      </x:c>
      <x:c r="M485" s="4" t="str">
        <x:v>FLOW-009</x:v>
      </x:c>
      <x:c r="N485" s="4" t="str">
        <x:v>未执行</x:v>
      </x:c>
      <x:c r="O485" s="12" t="str"/>
    </x:row>
    <x:row r="486" ht="32" customHeight="1">
      <x:c r="A486" s="9" t="str">
        <x:v>PAR-0482</x:v>
      </x:c>
      <x:c r="B486" s="9" t="str">
        <x:v>组件</x:v>
      </x:c>
      <x:c r="C486" s="9" t="str">
        <x:v>actions:PB_00007</x:v>
      </x:c>
      <x:c r="D486" s="9" t="str">
        <x:v>双图特征比对</x:v>
      </x:c>
      <x:c r="E486" s="9" t="str">
        <x:v>pair.threshold</x:v>
      </x:c>
      <x:c r="F486" s="9" t="str">
        <x:v>比对阈值（0–100，留空仅返回分数）</x:v>
      </x:c>
      <x:c r="G486" s="9" t="str">
        <x:v>bm1688,cv186x,x86</x:v>
      </x:c>
      <x:c r="H486" s="9" t="str"/>
      <x:c r="I486" s="9" t="str">
        <x:v>min=; max=; regex=</x:v>
      </x:c>
      <x:c r="J486" s="9" t="str"/>
      <x:c r="K486" s="9" t="str"/>
      <x:c r="L486" s="9" t="str">
        <x:v>默认/合法替代/空/非法类型；按已确认范围测min、max及相邻越界；保存回读并验证行为</x:v>
      </x:c>
      <x:c r="M486" s="9" t="str">
        <x:v>FLOW-009</x:v>
      </x:c>
      <x:c r="N486" s="9" t="str">
        <x:v>未执行</x:v>
      </x:c>
      <x:c r="O486" s="12" t="str"/>
    </x:row>
    <x:row r="487" ht="32" customHeight="1">
      <x:c r="A487" s="4" t="str">
        <x:v>PAR-0483</x:v>
      </x:c>
      <x:c r="B487" s="4" t="str">
        <x:v>组件</x:v>
      </x:c>
      <x:c r="C487" s="4" t="str">
        <x:v>modelComponents:IP0001</x:v>
      </x:c>
      <x:c r="D487" s="4" t="str">
        <x:v>输入节点组件</x:v>
      </x:c>
      <x:c r="E487" s="4" t="str">
        <x:v>input_node</x:v>
      </x:c>
      <x:c r="F487" s="4" t="str">
        <x:v>输入节点名称</x:v>
      </x:c>
      <x:c r="G487" s="4" t="str">
        <x:v>bm1688,cv186x,x86</x:v>
      </x:c>
      <x:c r="H487" s="4" t="str">
        <x:v>images</x:v>
      </x:c>
      <x:c r="I487" s="4" t="str">
        <x:v>min=; max=; regex=</x:v>
      </x:c>
      <x:c r="J487" s="4" t="str"/>
      <x:c r="K487" s="4" t="str">
        <x:v>模型输入节点名称</x:v>
      </x:c>
      <x:c r="L487" s="4" t="str">
        <x:v>默认/合法替代/空/非法类型；按已确认范围测min、max及相邻越界；保存回读并验证行为</x:v>
      </x:c>
      <x:c r="M487" s="4" t="str">
        <x:v>FLOW-009</x:v>
      </x:c>
      <x:c r="N487" s="4" t="str">
        <x:v>未执行</x:v>
      </x:c>
      <x:c r="O487" s="12" t="str"/>
    </x:row>
    <x:row r="488" ht="32" customHeight="1">
      <x:c r="A488" s="9" t="str">
        <x:v>PAR-0484</x:v>
      </x:c>
      <x:c r="B488" s="9" t="str">
        <x:v>组件</x:v>
      </x:c>
      <x:c r="C488" s="9" t="str">
        <x:v>modelComponents:IP0001</x:v>
      </x:c>
      <x:c r="D488" s="9" t="str">
        <x:v>输入节点组件</x:v>
      </x:c>
      <x:c r="E488" s="9" t="str">
        <x:v>shape</x:v>
      </x:c>
      <x:c r="F488" s="9" t="str">
        <x:v>输入形状</x:v>
      </x:c>
      <x:c r="G488" s="9" t="str">
        <x:v>bm1688,cv186x,x86</x:v>
      </x:c>
      <x:c r="H488" s="9" t="str">
        <x:v>[-1, 3, 640, 640]</x:v>
      </x:c>
      <x:c r="I488" s="9" t="str">
        <x:v>min=; max=; regex=</x:v>
      </x:c>
      <x:c r="J488" s="9" t="str"/>
      <x:c r="K488" s="9" t="str">
        <x:v>输入张量形状，格式：[batch, channel, height, width]</x:v>
      </x:c>
      <x:c r="L488" s="9" t="str">
        <x:v>默认/合法替代/空/非法类型；按已确认范围测min、max及相邻越界；保存回读并验证行为</x:v>
      </x:c>
      <x:c r="M488" s="9" t="str">
        <x:v>FLOW-009</x:v>
      </x:c>
      <x:c r="N488" s="9" t="str">
        <x:v>未执行</x:v>
      </x:c>
      <x:c r="O488" s="12" t="str"/>
    </x:row>
    <x:row r="489" ht="32" customHeight="1">
      <x:c r="A489" s="4" t="str">
        <x:v>PAR-0485</x:v>
      </x:c>
      <x:c r="B489" s="4" t="str">
        <x:v>组件</x:v>
      </x:c>
      <x:c r="C489" s="4" t="str">
        <x:v>modelComponents:IP0001</x:v>
      </x:c>
      <x:c r="D489" s="4" t="str">
        <x:v>输入节点组件</x:v>
      </x:c>
      <x:c r="E489" s="4" t="str">
        <x:v>data_type</x:v>
      </x:c>
      <x:c r="F489" s="4" t="str">
        <x:v>数据类型</x:v>
      </x:c>
      <x:c r="G489" s="4" t="str">
        <x:v>bm1688,cv186x,x86</x:v>
      </x:c>
      <x:c r="H489" s="4" t="str">
        <x:v>0</x:v>
      </x:c>
      <x:c r="I489" s="4" t="str">
        <x:v>枚举：0,1,2,3,4,5</x:v>
      </x:c>
      <x:c r="J489" s="4" t="str"/>
      <x:c r="K489" s="4" t="str">
        <x:v>数据类型选择</x:v>
      </x:c>
      <x:c r="L489" s="4" t="str">
        <x:v>依次选每个枚举；非法值；保存刷新；触发依赖字段</x:v>
      </x:c>
      <x:c r="M489" s="4" t="str">
        <x:v>FLOW-009</x:v>
      </x:c>
      <x:c r="N489" s="4" t="str">
        <x:v>未执行</x:v>
      </x:c>
      <x:c r="O489" s="12" t="str"/>
    </x:row>
    <x:row r="490" ht="40" customHeight="1">
      <x:c r="A490" s="9" t="str">
        <x:v>PAR-0486</x:v>
      </x:c>
      <x:c r="B490" s="9" t="str">
        <x:v>组件</x:v>
      </x:c>
      <x:c r="C490" s="9" t="str">
        <x:v>modelComponents:PR0001</x:v>
      </x:c>
      <x:c r="D490" s="9" t="str">
        <x:v>resize组件</x:v>
      </x:c>
      <x:c r="E490" s="9" t="str">
        <x:v>op</x:v>
      </x:c>
      <x:c r="F490" s="9" t="str">
        <x:v>预处理操作类型</x:v>
      </x:c>
      <x:c r="G490" s="9" t="str">
        <x:v>bm1688,cv186x,x86</x:v>
      </x:c>
      <x:c r="H490" s="9" t="str">
        <x:v>resize</x:v>
      </x:c>
      <x:c r="I490" s="9" t="str">
        <x:v>枚举：resize,normalize,crop,expand,affine_crop,sequence,combine_image,dino_encode</x:v>
      </x:c>
      <x:c r="J490" s="9" t="str"/>
      <x:c r="K490" s="9" t="str">
        <x:v>预处理操作类型</x:v>
      </x:c>
      <x:c r="L490" s="9" t="str">
        <x:v>依次选每个枚举；非法值；保存刷新；触发依赖字段</x:v>
      </x:c>
      <x:c r="M490" s="9" t="str">
        <x:v>FLOW-009</x:v>
      </x:c>
      <x:c r="N490" s="9" t="str">
        <x:v>未执行</x:v>
      </x:c>
      <x:c r="O490" s="12" t="str"/>
    </x:row>
    <x:row r="491" ht="32" customHeight="1">
      <x:c r="A491" s="4" t="str">
        <x:v>PAR-0487</x:v>
      </x:c>
      <x:c r="B491" s="4" t="str">
        <x:v>组件</x:v>
      </x:c>
      <x:c r="C491" s="4" t="str">
        <x:v>modelComponents:PR0001</x:v>
      </x:c>
      <x:c r="D491" s="4" t="str">
        <x:v>resize组件</x:v>
      </x:c>
      <x:c r="E491" s="4" t="str">
        <x:v>dsize</x:v>
      </x:c>
      <x:c r="F491" s="4" t="str">
        <x:v>目标尺寸</x:v>
      </x:c>
      <x:c r="G491" s="4" t="str">
        <x:v>bm1688,cv186x,x86</x:v>
      </x:c>
      <x:c r="H491" s="4" t="str">
        <x:v>[640, 640]</x:v>
      </x:c>
      <x:c r="I491" s="4" t="str">
        <x:v>min=; max=; regex=</x:v>
      </x:c>
      <x:c r="J491" s="4" t="str"/>
      <x:c r="K491" s="4" t="str">
        <x:v>调整后的图像尺寸 [height, width]</x:v>
      </x:c>
      <x:c r="L491" s="4" t="str">
        <x:v>默认/合法替代/空/非法类型；按已确认范围测min、max及相邻越界；保存回读并验证行为</x:v>
      </x:c>
      <x:c r="M491" s="4" t="str">
        <x:v>FLOW-009</x:v>
      </x:c>
      <x:c r="N491" s="4" t="str">
        <x:v>未执行</x:v>
      </x:c>
      <x:c r="O491" s="12" t="str"/>
    </x:row>
    <x:row r="492" ht="32" customHeight="1">
      <x:c r="A492" s="9" t="str">
        <x:v>PAR-0488</x:v>
      </x:c>
      <x:c r="B492" s="9" t="str">
        <x:v>组件</x:v>
      </x:c>
      <x:c r="C492" s="9" t="str">
        <x:v>modelComponents:PR0001</x:v>
      </x:c>
      <x:c r="D492" s="9" t="str">
        <x:v>resize组件</x:v>
      </x:c>
      <x:c r="E492" s="9" t="str">
        <x:v>gravity</x:v>
      </x:c>
      <x:c r="F492" s="9" t="str">
        <x:v>缩放策略</x:v>
      </x:c>
      <x:c r="G492" s="9" t="str">
        <x:v>bm1688,cv186x,x86</x:v>
      </x:c>
      <x:c r="H492" s="9" t="str">
        <x:v>0</x:v>
      </x:c>
      <x:c r="I492" s="9" t="str">
        <x:v>枚举：0,1,2</x:v>
      </x:c>
      <x:c r="J492" s="9" t="str"/>
      <x:c r="K492" s="9" t="str">
        <x:v>缩放策略：0-直接缩放，1-等比缩放后居中填充，2-等比缩放顶左对齐（与 cwnn_sophon 一致）</x:v>
      </x:c>
      <x:c r="L492" s="9" t="str">
        <x:v>依次选每个枚举；非法值；保存刷新；触发依赖字段</x:v>
      </x:c>
      <x:c r="M492" s="9" t="str">
        <x:v>FLOW-009</x:v>
      </x:c>
      <x:c r="N492" s="9" t="str">
        <x:v>未执行</x:v>
      </x:c>
      <x:c r="O492" s="12" t="str"/>
    </x:row>
    <x:row r="493" ht="32" customHeight="1">
      <x:c r="A493" s="4" t="str">
        <x:v>PAR-0489</x:v>
      </x:c>
      <x:c r="B493" s="4" t="str">
        <x:v>组件</x:v>
      </x:c>
      <x:c r="C493" s="4" t="str">
        <x:v>modelComponents:PR0001</x:v>
      </x:c>
      <x:c r="D493" s="4" t="str">
        <x:v>resize组件</x:v>
      </x:c>
      <x:c r="E493" s="4" t="str">
        <x:v>color</x:v>
      </x:c>
      <x:c r="F493" s="4" t="str">
        <x:v>填充颜色</x:v>
      </x:c>
      <x:c r="G493" s="4" t="str">
        <x:v>bm1688,cv186x,x86</x:v>
      </x:c>
      <x:c r="H493" s="4" t="str">
        <x:v>[114, 114, 114]</x:v>
      </x:c>
      <x:c r="I493" s="4" t="str">
        <x:v>min=; max=; regex=</x:v>
      </x:c>
      <x:c r="J493" s="4" t="str"/>
      <x:c r="K493" s="4" t="str">
        <x:v>填充颜色 [R, G, B]（gravity 非 0 时生效）</x:v>
      </x:c>
      <x:c r="L493" s="4" t="str">
        <x:v>默认/合法替代/空/非法类型；按已确认范围测min、max及相邻越界；保存回读并验证行为</x:v>
      </x:c>
      <x:c r="M493" s="4" t="str">
        <x:v>FLOW-009</x:v>
      </x:c>
      <x:c r="N493" s="4" t="str">
        <x:v>未执行</x:v>
      </x:c>
      <x:c r="O493" s="12" t="str"/>
    </x:row>
    <x:row r="494" ht="40" customHeight="1">
      <x:c r="A494" s="9" t="str">
        <x:v>PAR-0490</x:v>
      </x:c>
      <x:c r="B494" s="9" t="str">
        <x:v>组件</x:v>
      </x:c>
      <x:c r="C494" s="9" t="str">
        <x:v>modelComponents:PR0002</x:v>
      </x:c>
      <x:c r="D494" s="9" t="str">
        <x:v>normalize组件</x:v>
      </x:c>
      <x:c r="E494" s="9" t="str">
        <x:v>op</x:v>
      </x:c>
      <x:c r="F494" s="9" t="str">
        <x:v>预处理操作类型</x:v>
      </x:c>
      <x:c r="G494" s="9" t="str">
        <x:v>bm1688,cv186x,x86</x:v>
      </x:c>
      <x:c r="H494" s="9" t="str">
        <x:v>normalize</x:v>
      </x:c>
      <x:c r="I494" s="9" t="str">
        <x:v>枚举：resize,normalize,crop,expand,affine_crop,sequence,combine_image,dino_encode</x:v>
      </x:c>
      <x:c r="J494" s="9" t="str"/>
      <x:c r="K494" s="9" t="str">
        <x:v>预处理操作类型</x:v>
      </x:c>
      <x:c r="L494" s="9" t="str">
        <x:v>依次选每个枚举；非法值；保存刷新；触发依赖字段</x:v>
      </x:c>
      <x:c r="M494" s="9" t="str">
        <x:v>FLOW-009</x:v>
      </x:c>
      <x:c r="N494" s="9" t="str">
        <x:v>未执行</x:v>
      </x:c>
      <x:c r="O494" s="12" t="str"/>
    </x:row>
    <x:row r="495" ht="32" customHeight="1">
      <x:c r="A495" s="4" t="str">
        <x:v>PAR-0491</x:v>
      </x:c>
      <x:c r="B495" s="4" t="str">
        <x:v>组件</x:v>
      </x:c>
      <x:c r="C495" s="4" t="str">
        <x:v>modelComponents:PR0002</x:v>
      </x:c>
      <x:c r="D495" s="4" t="str">
        <x:v>normalize组件</x:v>
      </x:c>
      <x:c r="E495" s="4" t="str">
        <x:v>mean</x:v>
      </x:c>
      <x:c r="F495" s="4" t="str">
        <x:v>均值</x:v>
      </x:c>
      <x:c r="G495" s="4" t="str">
        <x:v>bm1688,cv186x,x86</x:v>
      </x:c>
      <x:c r="H495" s="4" t="str">
        <x:v>[0, 0, 0]</x:v>
      </x:c>
      <x:c r="I495" s="4" t="str">
        <x:v>min=; max=; regex=</x:v>
      </x:c>
      <x:c r="J495" s="4" t="str"/>
      <x:c r="K495" s="4" t="str">
        <x:v>归一化均值 [R, G, B]</x:v>
      </x:c>
      <x:c r="L495" s="4" t="str">
        <x:v>默认/合法替代/空/非法类型；按已确认范围测min、max及相邻越界；保存回读并验证行为</x:v>
      </x:c>
      <x:c r="M495" s="4" t="str">
        <x:v>FLOW-009</x:v>
      </x:c>
      <x:c r="N495" s="4" t="str">
        <x:v>未执行</x:v>
      </x:c>
      <x:c r="O495" s="12" t="str"/>
    </x:row>
    <x:row r="496" ht="32" customHeight="1">
      <x:c r="A496" s="9" t="str">
        <x:v>PAR-0492</x:v>
      </x:c>
      <x:c r="B496" s="9" t="str">
        <x:v>组件</x:v>
      </x:c>
      <x:c r="C496" s="9" t="str">
        <x:v>modelComponents:PR0002</x:v>
      </x:c>
      <x:c r="D496" s="9" t="str">
        <x:v>normalize组件</x:v>
      </x:c>
      <x:c r="E496" s="9" t="str">
        <x:v>std</x:v>
      </x:c>
      <x:c r="F496" s="9" t="str">
        <x:v>标准差</x:v>
      </x:c>
      <x:c r="G496" s="9" t="str">
        <x:v>bm1688,cv186x,x86</x:v>
      </x:c>
      <x:c r="H496" s="9" t="str"/>
      <x:c r="I496" s="9" t="str">
        <x:v>min=; max=; regex=</x:v>
      </x:c>
      <x:c r="J496" s="9" t="str"/>
      <x:c r="K496" s="9" t="str">
        <x:v>归一化标准差 [R, G, B]，可选，若提供则使用 1/std；若不提供，则按 scale 使用</x:v>
      </x:c>
      <x:c r="L496" s="9" t="str">
        <x:v>默认/合法替代/空/非法类型；按已确认范围测min、max及相邻越界；保存回读并验证行为</x:v>
      </x:c>
      <x:c r="M496" s="9" t="str">
        <x:v>FLOW-009</x:v>
      </x:c>
      <x:c r="N496" s="9" t="str">
        <x:v>未执行</x:v>
      </x:c>
      <x:c r="O496" s="12" t="str"/>
    </x:row>
    <x:row r="497" ht="32" customHeight="1">
      <x:c r="A497" s="4" t="str">
        <x:v>PAR-0493</x:v>
      </x:c>
      <x:c r="B497" s="4" t="str">
        <x:v>组件</x:v>
      </x:c>
      <x:c r="C497" s="4" t="str">
        <x:v>modelComponents:PR0002</x:v>
      </x:c>
      <x:c r="D497" s="4" t="str">
        <x:v>normalize组件</x:v>
      </x:c>
      <x:c r="E497" s="4" t="str">
        <x:v>scale</x:v>
      </x:c>
      <x:c r="F497" s="4" t="str">
        <x:v>缩放因子</x:v>
      </x:c>
      <x:c r="G497" s="4" t="str">
        <x:v>bm1688,cv186x,x86</x:v>
      </x:c>
      <x:c r="H497" s="4" t="str">
        <x:v>1.0</x:v>
      </x:c>
      <x:c r="I497" s="4" t="str">
        <x:v>min=; max=; regex=</x:v>
      </x:c>
      <x:c r="J497" s="4" t="str"/>
      <x:c r="K497" s="4" t="str">
        <x:v>归一化缩放因子</x:v>
      </x:c>
      <x:c r="L497" s="4" t="str">
        <x:v>默认/合法替代/空/非法类型；按已确认范围测min、max及相邻越界；保存回读并验证行为</x:v>
      </x:c>
      <x:c r="M497" s="4" t="str">
        <x:v>FLOW-009</x:v>
      </x:c>
      <x:c r="N497" s="4" t="str">
        <x:v>未执行</x:v>
      </x:c>
      <x:c r="O497" s="12" t="str"/>
    </x:row>
    <x:row r="498" ht="32" customHeight="1">
      <x:c r="A498" s="9" t="str">
        <x:v>PAR-0494</x:v>
      </x:c>
      <x:c r="B498" s="9" t="str">
        <x:v>组件</x:v>
      </x:c>
      <x:c r="C498" s="9" t="str">
        <x:v>modelComponents:PR0002</x:v>
      </x:c>
      <x:c r="D498" s="9" t="str">
        <x:v>normalize组件</x:v>
      </x:c>
      <x:c r="E498" s="9" t="str">
        <x:v>is_bgr</x:v>
      </x:c>
      <x:c r="F498" s="9" t="str">
        <x:v>BGR格式</x:v>
      </x:c>
      <x:c r="G498" s="9" t="str">
        <x:v>bm1688,cv186x,x86</x:v>
      </x:c>
      <x:c r="H498" s="9" t="str">
        <x:v>1</x:v>
      </x:c>
      <x:c r="I498" s="9" t="str">
        <x:v>min=; max=; regex=</x:v>
      </x:c>
      <x:c r="J498" s="9" t="str"/>
      <x:c r="K498" s="9" t="str">
        <x:v>是否为BGR格式</x:v>
      </x:c>
      <x:c r="L498" s="9" t="str">
        <x:v>默认/合法替代/空/非法类型；按已确认范围测min、max及相邻越界；保存回读并验证行为</x:v>
      </x:c>
      <x:c r="M498" s="9" t="str">
        <x:v>FLOW-009</x:v>
      </x:c>
      <x:c r="N498" s="9" t="str">
        <x:v>未执行</x:v>
      </x:c>
      <x:c r="O498" s="12" t="str"/>
    </x:row>
    <x:row r="499" ht="40" customHeight="1">
      <x:c r="A499" s="4" t="str">
        <x:v>PAR-0495</x:v>
      </x:c>
      <x:c r="B499" s="4" t="str">
        <x:v>组件</x:v>
      </x:c>
      <x:c r="C499" s="4" t="str">
        <x:v>modelComponents:PR0003</x:v>
      </x:c>
      <x:c r="D499" s="4" t="str">
        <x:v>crop组件</x:v>
      </x:c>
      <x:c r="E499" s="4" t="str">
        <x:v>op</x:v>
      </x:c>
      <x:c r="F499" s="4" t="str">
        <x:v>预处理操作类型</x:v>
      </x:c>
      <x:c r="G499" s="4" t="str">
        <x:v>bm1688,cv186x,x86</x:v>
      </x:c>
      <x:c r="H499" s="4" t="str">
        <x:v>crop</x:v>
      </x:c>
      <x:c r="I499" s="4" t="str">
        <x:v>枚举：resize,normalize,crop,expand,affine_crop,sequence,combine_image,dino_encode</x:v>
      </x:c>
      <x:c r="J499" s="4" t="str"/>
      <x:c r="K499" s="4" t="str">
        <x:v>预处理操作类型</x:v>
      </x:c>
      <x:c r="L499" s="4" t="str">
        <x:v>依次选每个枚举；非法值；保存刷新；触发依赖字段</x:v>
      </x:c>
      <x:c r="M499" s="4" t="str">
        <x:v>FLOW-009</x:v>
      </x:c>
      <x:c r="N499" s="4" t="str">
        <x:v>未执行</x:v>
      </x:c>
      <x:c r="O499" s="12" t="str"/>
    </x:row>
    <x:row r="500" ht="32" customHeight="1">
      <x:c r="A500" s="9" t="str">
        <x:v>PAR-0496</x:v>
      </x:c>
      <x:c r="B500" s="9" t="str">
        <x:v>组件</x:v>
      </x:c>
      <x:c r="C500" s="9" t="str">
        <x:v>modelComponents:PR0003</x:v>
      </x:c>
      <x:c r="D500" s="9" t="str">
        <x:v>crop组件</x:v>
      </x:c>
      <x:c r="E500" s="9" t="str">
        <x:v>h_top_crop</x:v>
      </x:c>
      <x:c r="F500" s="9" t="str">
        <x:v>顶部</x:v>
      </x:c>
      <x:c r="G500" s="9" t="str">
        <x:v>bm1688,cv186x,x86</x:v>
      </x:c>
      <x:c r="H500" s="9" t="str">
        <x:v>-0.1</x:v>
      </x:c>
      <x:c r="I500" s="9" t="str">
        <x:v>min=; max=; regex=</x:v>
      </x:c>
      <x:c r="J500" s="9" t="str"/>
      <x:c r="K500" s="9" t="str">
        <x:v>范围 -1～1：负值或 0 表示该边裁剪（如 -0.1 裁 10%），正值表示扩展（如 0.1 扩 10%）</x:v>
      </x:c>
      <x:c r="L500" s="9" t="str">
        <x:v>默认/合法替代/空/非法类型；按已确认范围测min、max及相邻越界；保存回读并验证行为</x:v>
      </x:c>
      <x:c r="M500" s="9" t="str">
        <x:v>FLOW-009</x:v>
      </x:c>
      <x:c r="N500" s="9" t="str">
        <x:v>未执行</x:v>
      </x:c>
      <x:c r="O500" s="12" t="str"/>
    </x:row>
    <x:row r="501" ht="32" customHeight="1">
      <x:c r="A501" s="4" t="str">
        <x:v>PAR-0497</x:v>
      </x:c>
      <x:c r="B501" s="4" t="str">
        <x:v>组件</x:v>
      </x:c>
      <x:c r="C501" s="4" t="str">
        <x:v>modelComponents:PR0003</x:v>
      </x:c>
      <x:c r="D501" s="4" t="str">
        <x:v>crop组件</x:v>
      </x:c>
      <x:c r="E501" s="4" t="str">
        <x:v>h_bottom_crop</x:v>
      </x:c>
      <x:c r="F501" s="4" t="str">
        <x:v>底部</x:v>
      </x:c>
      <x:c r="G501" s="4" t="str">
        <x:v>bm1688,cv186x,x86</x:v>
      </x:c>
      <x:c r="H501" s="4" t="str">
        <x:v>-0.1</x:v>
      </x:c>
      <x:c r="I501" s="4" t="str">
        <x:v>min=; max=; regex=</x:v>
      </x:c>
      <x:c r="J501" s="4" t="str"/>
      <x:c r="K501" s="4" t="str">
        <x:v>-1～1：负或 0=裁剪，正=扩展</x:v>
      </x:c>
      <x:c r="L501" s="4" t="str">
        <x:v>默认/合法替代/空/非法类型；按已确认范围测min、max及相邻越界；保存回读并验证行为</x:v>
      </x:c>
      <x:c r="M501" s="4" t="str">
        <x:v>FLOW-009</x:v>
      </x:c>
      <x:c r="N501" s="4" t="str">
        <x:v>未执行</x:v>
      </x:c>
      <x:c r="O501" s="12" t="str"/>
    </x:row>
    <x:row r="502" ht="32" customHeight="1">
      <x:c r="A502" s="9" t="str">
        <x:v>PAR-0498</x:v>
      </x:c>
      <x:c r="B502" s="9" t="str">
        <x:v>组件</x:v>
      </x:c>
      <x:c r="C502" s="9" t="str">
        <x:v>modelComponents:PR0003</x:v>
      </x:c>
      <x:c r="D502" s="9" t="str">
        <x:v>crop组件</x:v>
      </x:c>
      <x:c r="E502" s="9" t="str">
        <x:v>w_left_crop</x:v>
      </x:c>
      <x:c r="F502" s="9" t="str">
        <x:v>左侧</x:v>
      </x:c>
      <x:c r="G502" s="9" t="str">
        <x:v>bm1688,cv186x,x86</x:v>
      </x:c>
      <x:c r="H502" s="9" t="str">
        <x:v>-0.05</x:v>
      </x:c>
      <x:c r="I502" s="9" t="str">
        <x:v>min=; max=; regex=</x:v>
      </x:c>
      <x:c r="J502" s="9" t="str"/>
      <x:c r="K502" s="9" t="str">
        <x:v>-1～1：负或 0=裁剪，正=扩展</x:v>
      </x:c>
      <x:c r="L502" s="9" t="str">
        <x:v>默认/合法替代/空/非法类型；按已确认范围测min、max及相邻越界；保存回读并验证行为</x:v>
      </x:c>
      <x:c r="M502" s="9" t="str">
        <x:v>FLOW-009</x:v>
      </x:c>
      <x:c r="N502" s="9" t="str">
        <x:v>未执行</x:v>
      </x:c>
      <x:c r="O502" s="12" t="str"/>
    </x:row>
    <x:row r="503" ht="32" customHeight="1">
      <x:c r="A503" s="4" t="str">
        <x:v>PAR-0499</x:v>
      </x:c>
      <x:c r="B503" s="4" t="str">
        <x:v>组件</x:v>
      </x:c>
      <x:c r="C503" s="4" t="str">
        <x:v>modelComponents:PR0003</x:v>
      </x:c>
      <x:c r="D503" s="4" t="str">
        <x:v>crop组件</x:v>
      </x:c>
      <x:c r="E503" s="4" t="str">
        <x:v>w_right_crop</x:v>
      </x:c>
      <x:c r="F503" s="4" t="str">
        <x:v>右侧</x:v>
      </x:c>
      <x:c r="G503" s="4" t="str">
        <x:v>bm1688,cv186x,x86</x:v>
      </x:c>
      <x:c r="H503" s="4" t="str">
        <x:v>-0.05</x:v>
      </x:c>
      <x:c r="I503" s="4" t="str">
        <x:v>min=; max=; regex=</x:v>
      </x:c>
      <x:c r="J503" s="4" t="str"/>
      <x:c r="K503" s="4" t="str">
        <x:v>-1～1：负或 0=裁剪，正=扩展</x:v>
      </x:c>
      <x:c r="L503" s="4" t="str">
        <x:v>默认/合法替代/空/非法类型；按已确认范围测min、max及相邻越界；保存回读并验证行为</x:v>
      </x:c>
      <x:c r="M503" s="4" t="str">
        <x:v>FLOW-009</x:v>
      </x:c>
      <x:c r="N503" s="4" t="str">
        <x:v>未执行</x:v>
      </x:c>
      <x:c r="O503" s="12" t="str"/>
    </x:row>
    <x:row r="504" ht="32" customHeight="1">
      <x:c r="A504" s="9" t="str">
        <x:v>PAR-0500</x:v>
      </x:c>
      <x:c r="B504" s="9" t="str">
        <x:v>组件</x:v>
      </x:c>
      <x:c r="C504" s="9" t="str">
        <x:v>modelComponents:PR0003</x:v>
      </x:c>
      <x:c r="D504" s="9" t="str">
        <x:v>crop组件</x:v>
      </x:c>
      <x:c r="E504" s="9" t="str">
        <x:v>square</x:v>
      </x:c>
      <x:c r="F504" s="9" t="str">
        <x:v>强制正方形</x:v>
      </x:c>
      <x:c r="G504" s="9" t="str">
        <x:v>bm1688,cv186x,x86</x:v>
      </x:c>
      <x:c r="H504" s="9" t="str">
        <x:v>0</x:v>
      </x:c>
      <x:c r="I504" s="9" t="str">
        <x:v>min=; max=; regex=</x:v>
      </x:c>
      <x:c r="J504" s="9" t="str"/>
      <x:c r="K504" s="9" t="str">
        <x:v>是否强制为正方形</x:v>
      </x:c>
      <x:c r="L504" s="9" t="str">
        <x:v>默认/合法替代/空/非法类型；按已确认范围测min、max及相邻越界；保存回读并验证行为</x:v>
      </x:c>
      <x:c r="M504" s="9" t="str">
        <x:v>FLOW-009</x:v>
      </x:c>
      <x:c r="N504" s="9" t="str">
        <x:v>未执行</x:v>
      </x:c>
      <x:c r="O504" s="12" t="str"/>
    </x:row>
    <x:row r="505" ht="32" customHeight="1">
      <x:c r="A505" s="4" t="str">
        <x:v>PAR-0501</x:v>
      </x:c>
      <x:c r="B505" s="4" t="str">
        <x:v>组件</x:v>
      </x:c>
      <x:c r="C505" s="4" t="str">
        <x:v>modelComponents:PR0003</x:v>
      </x:c>
      <x:c r="D505" s="4" t="str">
        <x:v>crop组件</x:v>
      </x:c>
      <x:c r="E505" s="4" t="str">
        <x:v>square_mode</x:v>
      </x:c>
      <x:c r="F505" s="4" t="str">
        <x:v>正方形模式</x:v>
      </x:c>
      <x:c r="G505" s="4" t="str">
        <x:v>bm1688,cv186x,x86</x:v>
      </x:c>
      <x:c r="H505" s="4" t="str">
        <x:v>0</x:v>
      </x:c>
      <x:c r="I505" s="4" t="str">
        <x:v>枚举：0,1,2</x:v>
      </x:c>
      <x:c r="J505" s="4" t="str"/>
      <x:c r="K505" s="4" t="str">
        <x:v>正方形模式：0-max, 1-min, 2-avg</x:v>
      </x:c>
      <x:c r="L505" s="4" t="str">
        <x:v>依次选每个枚举；非法值；保存刷新；触发依赖字段</x:v>
      </x:c>
      <x:c r="M505" s="4" t="str">
        <x:v>FLOW-009</x:v>
      </x:c>
      <x:c r="N505" s="4" t="str">
        <x:v>未执行</x:v>
      </x:c>
      <x:c r="O505" s="12" t="str"/>
    </x:row>
    <x:row r="506" ht="32" customHeight="1">
      <x:c r="A506" s="9" t="str">
        <x:v>PAR-0502</x:v>
      </x:c>
      <x:c r="B506" s="9" t="str">
        <x:v>组件</x:v>
      </x:c>
      <x:c r="C506" s="9" t="str">
        <x:v>modelComponents:PR0003</x:v>
      </x:c>
      <x:c r="D506" s="9" t="str">
        <x:v>crop组件</x:v>
      </x:c>
      <x:c r="E506" s="9" t="str">
        <x:v>skip</x:v>
      </x:c>
      <x:c r="F506" s="9" t="str">
        <x:v>跳过操作</x:v>
      </x:c>
      <x:c r="G506" s="9" t="str">
        <x:v>bm1688,cv186x,x86</x:v>
      </x:c>
      <x:c r="H506" s="9" t="str">
        <x:v>0</x:v>
      </x:c>
      <x:c r="I506" s="9" t="str">
        <x:v>min=; max=; regex=</x:v>
      </x:c>
      <x:c r="J506" s="9" t="str"/>
      <x:c r="K506" s="9" t="str">
        <x:v>是否跳过此操作</x:v>
      </x:c>
      <x:c r="L506" s="9" t="str">
        <x:v>默认/合法替代/空/非法类型；按已确认范围测min、max及相邻越界；保存回读并验证行为</x:v>
      </x:c>
      <x:c r="M506" s="9" t="str">
        <x:v>FLOW-009</x:v>
      </x:c>
      <x:c r="N506" s="9" t="str">
        <x:v>未执行</x:v>
      </x:c>
      <x:c r="O506" s="12" t="str"/>
    </x:row>
    <x:row r="507" ht="40" customHeight="1">
      <x:c r="A507" s="4" t="str">
        <x:v>PAR-0503</x:v>
      </x:c>
      <x:c r="B507" s="4" t="str">
        <x:v>组件</x:v>
      </x:c>
      <x:c r="C507" s="4" t="str">
        <x:v>modelComponents:PR0004</x:v>
      </x:c>
      <x:c r="D507" s="4" t="str">
        <x:v>expand组件</x:v>
      </x:c>
      <x:c r="E507" s="4" t="str">
        <x:v>op</x:v>
      </x:c>
      <x:c r="F507" s="4" t="str">
        <x:v>预处理操作类型</x:v>
      </x:c>
      <x:c r="G507" s="4" t="str">
        <x:v>bm1688,cv186x,x86</x:v>
      </x:c>
      <x:c r="H507" s="4" t="str">
        <x:v>expand</x:v>
      </x:c>
      <x:c r="I507" s="4" t="str">
        <x:v>枚举：resize,normalize,crop,expand,affine_crop,sequence,combine_image,dino_encode</x:v>
      </x:c>
      <x:c r="J507" s="4" t="str"/>
      <x:c r="K507" s="4" t="str">
        <x:v>与 crop 共用 -1～1 语义：负或 0=裁剪，正=扩展。expand 时常用正值</x:v>
      </x:c>
      <x:c r="L507" s="4" t="str">
        <x:v>依次选每个枚举；非法值；保存刷新；触发依赖字段</x:v>
      </x:c>
      <x:c r="M507" s="4" t="str">
        <x:v>FLOW-009</x:v>
      </x:c>
      <x:c r="N507" s="4" t="str">
        <x:v>未执行</x:v>
      </x:c>
      <x:c r="O507" s="12" t="str"/>
    </x:row>
    <x:row r="508" ht="32" customHeight="1">
      <x:c r="A508" s="9" t="str">
        <x:v>PAR-0504</x:v>
      </x:c>
      <x:c r="B508" s="9" t="str">
        <x:v>组件</x:v>
      </x:c>
      <x:c r="C508" s="9" t="str">
        <x:v>modelComponents:PR0004</x:v>
      </x:c>
      <x:c r="D508" s="9" t="str">
        <x:v>expand组件</x:v>
      </x:c>
      <x:c r="E508" s="9" t="str">
        <x:v>h_top_crop</x:v>
      </x:c>
      <x:c r="F508" s="9" t="str">
        <x:v>顶部</x:v>
      </x:c>
      <x:c r="G508" s="9" t="str">
        <x:v>bm1688,cv186x,x86</x:v>
      </x:c>
      <x:c r="H508" s="9" t="str">
        <x:v>0.1</x:v>
      </x:c>
      <x:c r="I508" s="9" t="str">
        <x:v>min=; max=; regex=</x:v>
      </x:c>
      <x:c r="J508" s="9" t="str"/>
      <x:c r="K508" s="9" t="str">
        <x:v>-1～1：负或 0=裁剪，正=扩展（如 0.1 扩 10%）</x:v>
      </x:c>
      <x:c r="L508" s="9" t="str">
        <x:v>默认/合法替代/空/非法类型；按已确认范围测min、max及相邻越界；保存回读并验证行为</x:v>
      </x:c>
      <x:c r="M508" s="9" t="str">
        <x:v>FLOW-009</x:v>
      </x:c>
      <x:c r="N508" s="9" t="str">
        <x:v>未执行</x:v>
      </x:c>
      <x:c r="O508" s="12" t="str"/>
    </x:row>
    <x:row r="509" ht="32" customHeight="1">
      <x:c r="A509" s="4" t="str">
        <x:v>PAR-0505</x:v>
      </x:c>
      <x:c r="B509" s="4" t="str">
        <x:v>组件</x:v>
      </x:c>
      <x:c r="C509" s="4" t="str">
        <x:v>modelComponents:PR0004</x:v>
      </x:c>
      <x:c r="D509" s="4" t="str">
        <x:v>expand组件</x:v>
      </x:c>
      <x:c r="E509" s="4" t="str">
        <x:v>h_bottom_crop</x:v>
      </x:c>
      <x:c r="F509" s="4" t="str">
        <x:v>底部</x:v>
      </x:c>
      <x:c r="G509" s="4" t="str">
        <x:v>bm1688,cv186x,x86</x:v>
      </x:c>
      <x:c r="H509" s="4" t="str">
        <x:v>0.1</x:v>
      </x:c>
      <x:c r="I509" s="4" t="str">
        <x:v>min=; max=; regex=</x:v>
      </x:c>
      <x:c r="J509" s="4" t="str"/>
      <x:c r="K509" s="4" t="str">
        <x:v>-1～1：负或 0=裁剪，正=扩展</x:v>
      </x:c>
      <x:c r="L509" s="4" t="str">
        <x:v>默认/合法替代/空/非法类型；按已确认范围测min、max及相邻越界；保存回读并验证行为</x:v>
      </x:c>
      <x:c r="M509" s="4" t="str">
        <x:v>FLOW-009</x:v>
      </x:c>
      <x:c r="N509" s="4" t="str">
        <x:v>未执行</x:v>
      </x:c>
      <x:c r="O509" s="12" t="str"/>
    </x:row>
    <x:row r="510" ht="32" customHeight="1">
      <x:c r="A510" s="9" t="str">
        <x:v>PAR-0506</x:v>
      </x:c>
      <x:c r="B510" s="9" t="str">
        <x:v>组件</x:v>
      </x:c>
      <x:c r="C510" s="9" t="str">
        <x:v>modelComponents:PR0004</x:v>
      </x:c>
      <x:c r="D510" s="9" t="str">
        <x:v>expand组件</x:v>
      </x:c>
      <x:c r="E510" s="9" t="str">
        <x:v>w_left_crop</x:v>
      </x:c>
      <x:c r="F510" s="9" t="str">
        <x:v>左侧</x:v>
      </x:c>
      <x:c r="G510" s="9" t="str">
        <x:v>bm1688,cv186x,x86</x:v>
      </x:c>
      <x:c r="H510" s="9" t="str">
        <x:v>0.05</x:v>
      </x:c>
      <x:c r="I510" s="9" t="str">
        <x:v>min=; max=; regex=</x:v>
      </x:c>
      <x:c r="J510" s="9" t="str"/>
      <x:c r="K510" s="9" t="str">
        <x:v>-1～1：负或 0=裁剪，正=扩展</x:v>
      </x:c>
      <x:c r="L510" s="9" t="str">
        <x:v>默认/合法替代/空/非法类型；按已确认范围测min、max及相邻越界；保存回读并验证行为</x:v>
      </x:c>
      <x:c r="M510" s="9" t="str">
        <x:v>FLOW-009</x:v>
      </x:c>
      <x:c r="N510" s="9" t="str">
        <x:v>未执行</x:v>
      </x:c>
      <x:c r="O510" s="12" t="str"/>
    </x:row>
    <x:row r="511" ht="32" customHeight="1">
      <x:c r="A511" s="4" t="str">
        <x:v>PAR-0507</x:v>
      </x:c>
      <x:c r="B511" s="4" t="str">
        <x:v>组件</x:v>
      </x:c>
      <x:c r="C511" s="4" t="str">
        <x:v>modelComponents:PR0004</x:v>
      </x:c>
      <x:c r="D511" s="4" t="str">
        <x:v>expand组件</x:v>
      </x:c>
      <x:c r="E511" s="4" t="str">
        <x:v>w_right_crop</x:v>
      </x:c>
      <x:c r="F511" s="4" t="str">
        <x:v>右侧</x:v>
      </x:c>
      <x:c r="G511" s="4" t="str">
        <x:v>bm1688,cv186x,x86</x:v>
      </x:c>
      <x:c r="H511" s="4" t="str">
        <x:v>0.05</x:v>
      </x:c>
      <x:c r="I511" s="4" t="str">
        <x:v>min=; max=; regex=</x:v>
      </x:c>
      <x:c r="J511" s="4" t="str"/>
      <x:c r="K511" s="4" t="str">
        <x:v>-1～1：负或 0=裁剪，正=扩展</x:v>
      </x:c>
      <x:c r="L511" s="4" t="str">
        <x:v>默认/合法替代/空/非法类型；按已确认范围测min、max及相邻越界；保存回读并验证行为</x:v>
      </x:c>
      <x:c r="M511" s="4" t="str">
        <x:v>FLOW-009</x:v>
      </x:c>
      <x:c r="N511" s="4" t="str">
        <x:v>未执行</x:v>
      </x:c>
      <x:c r="O511" s="12" t="str"/>
    </x:row>
    <x:row r="512" ht="32" customHeight="1">
      <x:c r="A512" s="9" t="str">
        <x:v>PAR-0508</x:v>
      </x:c>
      <x:c r="B512" s="9" t="str">
        <x:v>组件</x:v>
      </x:c>
      <x:c r="C512" s="9" t="str">
        <x:v>modelComponents:PR0004</x:v>
      </x:c>
      <x:c r="D512" s="9" t="str">
        <x:v>expand组件</x:v>
      </x:c>
      <x:c r="E512" s="9" t="str">
        <x:v>square</x:v>
      </x:c>
      <x:c r="F512" s="9" t="str">
        <x:v>强制正方形</x:v>
      </x:c>
      <x:c r="G512" s="9" t="str">
        <x:v>bm1688,cv186x,x86</x:v>
      </x:c>
      <x:c r="H512" s="9" t="str">
        <x:v>0</x:v>
      </x:c>
      <x:c r="I512" s="9" t="str">
        <x:v>min=; max=; regex=</x:v>
      </x:c>
      <x:c r="J512" s="9" t="str"/>
      <x:c r="K512" s="9" t="str">
        <x:v>是否强制为正方形</x:v>
      </x:c>
      <x:c r="L512" s="9" t="str">
        <x:v>默认/合法替代/空/非法类型；按已确认范围测min、max及相邻越界；保存回读并验证行为</x:v>
      </x:c>
      <x:c r="M512" s="9" t="str">
        <x:v>FLOW-009</x:v>
      </x:c>
      <x:c r="N512" s="9" t="str">
        <x:v>未执行</x:v>
      </x:c>
      <x:c r="O512" s="12" t="str"/>
    </x:row>
    <x:row r="513" ht="32" customHeight="1">
      <x:c r="A513" s="4" t="str">
        <x:v>PAR-0509</x:v>
      </x:c>
      <x:c r="B513" s="4" t="str">
        <x:v>组件</x:v>
      </x:c>
      <x:c r="C513" s="4" t="str">
        <x:v>modelComponents:PR0004</x:v>
      </x:c>
      <x:c r="D513" s="4" t="str">
        <x:v>expand组件</x:v>
      </x:c>
      <x:c r="E513" s="4" t="str">
        <x:v>square_mode</x:v>
      </x:c>
      <x:c r="F513" s="4" t="str">
        <x:v>正方形模式</x:v>
      </x:c>
      <x:c r="G513" s="4" t="str">
        <x:v>bm1688,cv186x,x86</x:v>
      </x:c>
      <x:c r="H513" s="4" t="str">
        <x:v>0</x:v>
      </x:c>
      <x:c r="I513" s="4" t="str">
        <x:v>枚举：0,1,2</x:v>
      </x:c>
      <x:c r="J513" s="4" t="str"/>
      <x:c r="K513" s="4" t="str">
        <x:v>正方形模式：0-max, 1-min, 2-avg</x:v>
      </x:c>
      <x:c r="L513" s="4" t="str">
        <x:v>依次选每个枚举；非法值；保存刷新；触发依赖字段</x:v>
      </x:c>
      <x:c r="M513" s="4" t="str">
        <x:v>FLOW-009</x:v>
      </x:c>
      <x:c r="N513" s="4" t="str">
        <x:v>未执行</x:v>
      </x:c>
      <x:c r="O513" s="12" t="str"/>
    </x:row>
    <x:row r="514" ht="32" customHeight="1">
      <x:c r="A514" s="9" t="str">
        <x:v>PAR-0510</x:v>
      </x:c>
      <x:c r="B514" s="9" t="str">
        <x:v>组件</x:v>
      </x:c>
      <x:c r="C514" s="9" t="str">
        <x:v>modelComponents:PR0004</x:v>
      </x:c>
      <x:c r="D514" s="9" t="str">
        <x:v>expand组件</x:v>
      </x:c>
      <x:c r="E514" s="9" t="str">
        <x:v>skip</x:v>
      </x:c>
      <x:c r="F514" s="9" t="str">
        <x:v>跳过操作</x:v>
      </x:c>
      <x:c r="G514" s="9" t="str">
        <x:v>bm1688,cv186x,x86</x:v>
      </x:c>
      <x:c r="H514" s="9" t="str">
        <x:v>0</x:v>
      </x:c>
      <x:c r="I514" s="9" t="str">
        <x:v>min=; max=; regex=</x:v>
      </x:c>
      <x:c r="J514" s="9" t="str"/>
      <x:c r="K514" s="9" t="str">
        <x:v>是否跳过此操作</x:v>
      </x:c>
      <x:c r="L514" s="9" t="str">
        <x:v>默认/合法替代/空/非法类型；按已确认范围测min、max及相邻越界；保存回读并验证行为</x:v>
      </x:c>
      <x:c r="M514" s="9" t="str">
        <x:v>FLOW-009</x:v>
      </x:c>
      <x:c r="N514" s="9" t="str">
        <x:v>未执行</x:v>
      </x:c>
      <x:c r="O514" s="12" t="str"/>
    </x:row>
    <x:row r="515" ht="40" customHeight="1">
      <x:c r="A515" s="4" t="str">
        <x:v>PAR-0511</x:v>
      </x:c>
      <x:c r="B515" s="4" t="str">
        <x:v>组件</x:v>
      </x:c>
      <x:c r="C515" s="4" t="str">
        <x:v>modelComponents:PR0005</x:v>
      </x:c>
      <x:c r="D515" s="4" t="str">
        <x:v>affine_crop组件</x:v>
      </x:c>
      <x:c r="E515" s="4" t="str">
        <x:v>op</x:v>
      </x:c>
      <x:c r="F515" s="4" t="str">
        <x:v>预处理操作类型</x:v>
      </x:c>
      <x:c r="G515" s="4" t="str">
        <x:v>bm1688,cv186x,x86</x:v>
      </x:c>
      <x:c r="H515" s="4" t="str">
        <x:v>affine_crop</x:v>
      </x:c>
      <x:c r="I515" s="4" t="str">
        <x:v>枚举：resize,normalize,crop,expand,affine_crop,sequence,combine_image,dino_encode</x:v>
      </x:c>
      <x:c r="J515" s="4" t="str"/>
      <x:c r="K515" s="4" t="str">
        <x:v>预处理操作类型</x:v>
      </x:c>
      <x:c r="L515" s="4" t="str">
        <x:v>依次选每个枚举；非法值；保存刷新；触发依赖字段</x:v>
      </x:c>
      <x:c r="M515" s="4" t="str">
        <x:v>FLOW-009</x:v>
      </x:c>
      <x:c r="N515" s="4" t="str">
        <x:v>未执行</x:v>
      </x:c>
      <x:c r="O515" s="12" t="str"/>
    </x:row>
    <x:row r="516" ht="32" customHeight="1">
      <x:c r="A516" s="9" t="str">
        <x:v>PAR-0512</x:v>
      </x:c>
      <x:c r="B516" s="9" t="str">
        <x:v>组件</x:v>
      </x:c>
      <x:c r="C516" s="9" t="str">
        <x:v>modelComponents:PR0005</x:v>
      </x:c>
      <x:c r="D516" s="9" t="str">
        <x:v>affine_crop组件</x:v>
      </x:c>
      <x:c r="E516" s="9" t="str">
        <x:v>NormMode</x:v>
      </x:c>
      <x:c r="F516" s="9" t="str">
        <x:v>归一化模式</x:v>
      </x:c>
      <x:c r="G516" s="9" t="str">
        <x:v>bm1688,cv186x,x86</x:v>
      </x:c>
      <x:c r="H516" s="9" t="str">
        <x:v>0</x:v>
      </x:c>
      <x:c r="I516" s="9" t="str">
        <x:v>枚举：0,1,2</x:v>
      </x:c>
      <x:c r="J516" s="9" t="str"/>
      <x:c r="K516" s="9" t="str">
        <x:v>归一化模式：0/1/2</x:v>
      </x:c>
      <x:c r="L516" s="9" t="str">
        <x:v>依次选每个枚举；非法值；保存刷新；触发依赖字段</x:v>
      </x:c>
      <x:c r="M516" s="9" t="str">
        <x:v>FLOW-009</x:v>
      </x:c>
      <x:c r="N516" s="9" t="str">
        <x:v>未执行</x:v>
      </x:c>
      <x:c r="O516" s="12" t="str"/>
    </x:row>
    <x:row r="517" ht="32" customHeight="1">
      <x:c r="A517" s="4" t="str">
        <x:v>PAR-0513</x:v>
      </x:c>
      <x:c r="B517" s="4" t="str">
        <x:v>组件</x:v>
      </x:c>
      <x:c r="C517" s="4" t="str">
        <x:v>modelComponents:PR0005</x:v>
      </x:c>
      <x:c r="D517" s="4" t="str">
        <x:v>affine_crop组件</x:v>
      </x:c>
      <x:c r="E517" s="4" t="str">
        <x:v>norm_ratio</x:v>
      </x:c>
      <x:c r="F517" s="4" t="str">
        <x:v>归一化比例</x:v>
      </x:c>
      <x:c r="G517" s="4" t="str">
        <x:v>bm1688,cv186x,x86</x:v>
      </x:c>
      <x:c r="H517" s="4" t="str">
        <x:v>0.6</x:v>
      </x:c>
      <x:c r="I517" s="4" t="str">
        <x:v>min=; max=; regex=</x:v>
      </x:c>
      <x:c r="J517" s="4" t="str"/>
      <x:c r="K517" s="4" t="str">
        <x:v>归一化比例</x:v>
      </x:c>
      <x:c r="L517" s="4" t="str">
        <x:v>默认/合法替代/空/非法类型；按已确认范围测min、max及相邻越界；保存回读并验证行为</x:v>
      </x:c>
      <x:c r="M517" s="4" t="str">
        <x:v>FLOW-009</x:v>
      </x:c>
      <x:c r="N517" s="4" t="str">
        <x:v>未执行</x:v>
      </x:c>
      <x:c r="O517" s="12" t="str"/>
    </x:row>
    <x:row r="518" ht="32" customHeight="1">
      <x:c r="A518" s="9" t="str">
        <x:v>PAR-0514</x:v>
      </x:c>
      <x:c r="B518" s="9" t="str">
        <x:v>组件</x:v>
      </x:c>
      <x:c r="C518" s="9" t="str">
        <x:v>modelComponents:PR0005</x:v>
      </x:c>
      <x:c r="D518" s="9" t="str">
        <x:v>affine_crop组件</x:v>
      </x:c>
      <x:c r="E518" s="9" t="str">
        <x:v>output_hw</x:v>
      </x:c>
      <x:c r="F518" s="9" t="str">
        <x:v>输出尺寸</x:v>
      </x:c>
      <x:c r="G518" s="9" t="str">
        <x:v>bm1688,cv186x,x86</x:v>
      </x:c>
      <x:c r="H518" s="9" t="str">
        <x:v>[256, 256]</x:v>
      </x:c>
      <x:c r="I518" s="9" t="str">
        <x:v>min=; max=; regex=</x:v>
      </x:c>
      <x:c r="J518" s="9" t="str"/>
      <x:c r="K518" s="9" t="str">
        <x:v>输出尺寸 [height, width]</x:v>
      </x:c>
      <x:c r="L518" s="9" t="str">
        <x:v>默认/合法替代/空/非法类型；按已确认范围测min、max及相邻越界；保存回读并验证行为</x:v>
      </x:c>
      <x:c r="M518" s="9" t="str">
        <x:v>FLOW-009</x:v>
      </x:c>
      <x:c r="N518" s="9" t="str">
        <x:v>未执行</x:v>
      </x:c>
      <x:c r="O518" s="12" t="str"/>
    </x:row>
    <x:row r="519" ht="32" customHeight="1">
      <x:c r="A519" s="4" t="str">
        <x:v>PAR-0515</x:v>
      </x:c>
      <x:c r="B519" s="4" t="str">
        <x:v>组件</x:v>
      </x:c>
      <x:c r="C519" s="4" t="str">
        <x:v>modelComponents:PR0005</x:v>
      </x:c>
      <x:c r="D519" s="4" t="str">
        <x:v>affine_crop组件</x:v>
      </x:c>
      <x:c r="E519" s="4" t="str">
        <x:v>center_index</x:v>
      </x:c>
      <x:c r="F519" s="4" t="str">
        <x:v>中心点索引</x:v>
      </x:c>
      <x:c r="G519" s="4" t="str">
        <x:v>bm1688,cv186x,x86</x:v>
      </x:c>
      <x:c r="H519" s="4" t="str"/>
      <x:c r="I519" s="4" t="str">
        <x:v>min=; max=; regex=</x:v>
      </x:c>
      <x:c r="J519" s="4" t="str"/>
      <x:c r="K519" s="4" t="str">
        <x:v>可选，决定中心点计算方式，如: [0, 1, 3, 4]</x:v>
      </x:c>
      <x:c r="L519" s="4" t="str">
        <x:v>默认/合法替代/空/非法类型；按已确认范围测min、max及相邻越界；保存回读并验证行为</x:v>
      </x:c>
      <x:c r="M519" s="4" t="str">
        <x:v>FLOW-009</x:v>
      </x:c>
      <x:c r="N519" s="4" t="str">
        <x:v>未执行</x:v>
      </x:c>
      <x:c r="O519" s="12" t="str"/>
    </x:row>
    <x:row r="520" ht="40" customHeight="1">
      <x:c r="A520" s="9" t="str">
        <x:v>PAR-0516</x:v>
      </x:c>
      <x:c r="B520" s="9" t="str">
        <x:v>组件</x:v>
      </x:c>
      <x:c r="C520" s="9" t="str">
        <x:v>modelComponents:PR0006</x:v>
      </x:c>
      <x:c r="D520" s="9" t="str">
        <x:v>sequence组件</x:v>
      </x:c>
      <x:c r="E520" s="9" t="str">
        <x:v>op</x:v>
      </x:c>
      <x:c r="F520" s="9" t="str">
        <x:v>预处理操作类型</x:v>
      </x:c>
      <x:c r="G520" s="9" t="str">
        <x:v>bm1688,cv186x,x86</x:v>
      </x:c>
      <x:c r="H520" s="9" t="str">
        <x:v>sequence</x:v>
      </x:c>
      <x:c r="I520" s="9" t="str">
        <x:v>枚举：resize,normalize,crop,expand,affine_crop,sequence,combine_image,dino_encode</x:v>
      </x:c>
      <x:c r="J520" s="9" t="str"/>
      <x:c r="K520" s="9" t="str">
        <x:v>预处理操作类型</x:v>
      </x:c>
      <x:c r="L520" s="9" t="str">
        <x:v>依次选每个枚举；非法值；保存刷新；触发依赖字段</x:v>
      </x:c>
      <x:c r="M520" s="9" t="str">
        <x:v>FLOW-009</x:v>
      </x:c>
      <x:c r="N520" s="9" t="str">
        <x:v>未执行</x:v>
      </x:c>
      <x:c r="O520" s="12" t="str"/>
    </x:row>
    <x:row r="521" ht="32" customHeight="1">
      <x:c r="A521" s="4" t="str">
        <x:v>PAR-0517</x:v>
      </x:c>
      <x:c r="B521" s="4" t="str">
        <x:v>组件</x:v>
      </x:c>
      <x:c r="C521" s="4" t="str">
        <x:v>modelComponents:PR0006</x:v>
      </x:c>
      <x:c r="D521" s="4" t="str">
        <x:v>sequence组件</x:v>
      </x:c>
      <x:c r="E521" s="4" t="str">
        <x:v>size</x:v>
      </x:c>
      <x:c r="F521" s="4" t="str">
        <x:v>序列长度</x:v>
      </x:c>
      <x:c r="G521" s="4" t="str">
        <x:v>bm1688,cv186x,x86</x:v>
      </x:c>
      <x:c r="H521" s="4" t="str">
        <x:v>4</x:v>
      </x:c>
      <x:c r="I521" s="4" t="str">
        <x:v>min=; max=; regex=</x:v>
      </x:c>
      <x:c r="J521" s="4" t="str"/>
      <x:c r="K521" s="4" t="str">
        <x:v>序列长度</x:v>
      </x:c>
      <x:c r="L521" s="4" t="str">
        <x:v>默认/合法替代/空/非法类型；按已确认范围测min、max及相邻越界；保存回读并验证行为</x:v>
      </x:c>
      <x:c r="M521" s="4" t="str">
        <x:v>FLOW-009</x:v>
      </x:c>
      <x:c r="N521" s="4" t="str">
        <x:v>未执行</x:v>
      </x:c>
      <x:c r="O521" s="12" t="str"/>
    </x:row>
    <x:row r="522" ht="32" customHeight="1">
      <x:c r="A522" s="9" t="str">
        <x:v>PAR-0518</x:v>
      </x:c>
      <x:c r="B522" s="9" t="str">
        <x:v>组件</x:v>
      </x:c>
      <x:c r="C522" s="9" t="str">
        <x:v>modelComponents:PR0006</x:v>
      </x:c>
      <x:c r="D522" s="9" t="str">
        <x:v>sequence组件</x:v>
      </x:c>
      <x:c r="E522" s="9" t="str">
        <x:v>scale</x:v>
      </x:c>
      <x:c r="F522" s="9" t="str">
        <x:v>缩放</x:v>
      </x:c>
      <x:c r="G522" s="9" t="str">
        <x:v>bm1688,cv186x,x86</x:v>
      </x:c>
      <x:c r="H522" s="9" t="str">
        <x:v>1.0</x:v>
      </x:c>
      <x:c r="I522" s="9" t="str">
        <x:v>min=; max=; regex=</x:v>
      </x:c>
      <x:c r="J522" s="9" t="str"/>
      <x:c r="K522" s="9" t="str">
        <x:v>缩放因子</x:v>
      </x:c>
      <x:c r="L522" s="9" t="str">
        <x:v>默认/合法替代/空/非法类型；按已确认范围测min、max及相邻越界；保存回读并验证行为</x:v>
      </x:c>
      <x:c r="M522" s="9" t="str">
        <x:v>FLOW-009</x:v>
      </x:c>
      <x:c r="N522" s="9" t="str">
        <x:v>未执行</x:v>
      </x:c>
      <x:c r="O522" s="12" t="str"/>
    </x:row>
    <x:row r="523" ht="32" customHeight="1">
      <x:c r="A523" s="4" t="str">
        <x:v>PAR-0519</x:v>
      </x:c>
      <x:c r="B523" s="4" t="str">
        <x:v>组件</x:v>
      </x:c>
      <x:c r="C523" s="4" t="str">
        <x:v>modelComponents:PR0006</x:v>
      </x:c>
      <x:c r="D523" s="4" t="str">
        <x:v>sequence组件</x:v>
      </x:c>
      <x:c r="E523" s="4" t="str">
        <x:v>dsize</x:v>
      </x:c>
      <x:c r="F523" s="4" t="str">
        <x:v>目标尺寸</x:v>
      </x:c>
      <x:c r="G523" s="4" t="str">
        <x:v>bm1688,cv186x,x86</x:v>
      </x:c>
      <x:c r="H523" s="4" t="str">
        <x:v>[224, 224]</x:v>
      </x:c>
      <x:c r="I523" s="4" t="str">
        <x:v>min=; max=; regex=</x:v>
      </x:c>
      <x:c r="J523" s="4" t="str"/>
      <x:c r="K523" s="4" t="str">
        <x:v>目标尺寸 [height, width]</x:v>
      </x:c>
      <x:c r="L523" s="4" t="str">
        <x:v>默认/合法替代/空/非法类型；按已确认范围测min、max及相邻越界；保存回读并验证行为</x:v>
      </x:c>
      <x:c r="M523" s="4" t="str">
        <x:v>FLOW-009</x:v>
      </x:c>
      <x:c r="N523" s="4" t="str">
        <x:v>未执行</x:v>
      </x:c>
      <x:c r="O523" s="12" t="str"/>
    </x:row>
    <x:row r="524" ht="32" customHeight="1">
      <x:c r="A524" s="9" t="str">
        <x:v>PAR-0520</x:v>
      </x:c>
      <x:c r="B524" s="9" t="str">
        <x:v>组件</x:v>
      </x:c>
      <x:c r="C524" s="9" t="str">
        <x:v>modelComponents:PR0006</x:v>
      </x:c>
      <x:c r="D524" s="9" t="str">
        <x:v>sequence组件</x:v>
      </x:c>
      <x:c r="E524" s="9" t="str">
        <x:v>is_bgr</x:v>
      </x:c>
      <x:c r="F524" s="9" t="str">
        <x:v>BGR格式</x:v>
      </x:c>
      <x:c r="G524" s="9" t="str">
        <x:v>bm1688,cv186x,x86</x:v>
      </x:c>
      <x:c r="H524" s="9" t="str">
        <x:v>1</x:v>
      </x:c>
      <x:c r="I524" s="9" t="str">
        <x:v>min=; max=; regex=</x:v>
      </x:c>
      <x:c r="J524" s="9" t="str"/>
      <x:c r="K524" s="9" t="str">
        <x:v>是否为BGR格式</x:v>
      </x:c>
      <x:c r="L524" s="9" t="str">
        <x:v>默认/合法替代/空/非法类型；按已确认范围测min、max及相邻越界；保存回读并验证行为</x:v>
      </x:c>
      <x:c r="M524" s="9" t="str">
        <x:v>FLOW-009</x:v>
      </x:c>
      <x:c r="N524" s="9" t="str">
        <x:v>未执行</x:v>
      </x:c>
      <x:c r="O524" s="12" t="str"/>
    </x:row>
    <x:row r="525" ht="40" customHeight="1">
      <x:c r="A525" s="4" t="str">
        <x:v>PAR-0521</x:v>
      </x:c>
      <x:c r="B525" s="4" t="str">
        <x:v>组件</x:v>
      </x:c>
      <x:c r="C525" s="4" t="str">
        <x:v>modelComponents:PR0007</x:v>
      </x:c>
      <x:c r="D525" s="4" t="str">
        <x:v>combine_image组件</x:v>
      </x:c>
      <x:c r="E525" s="4" t="str">
        <x:v>op</x:v>
      </x:c>
      <x:c r="F525" s="4" t="str">
        <x:v>预处理操作类型</x:v>
      </x:c>
      <x:c r="G525" s="4" t="str">
        <x:v>bm1688,cv186x,x86</x:v>
      </x:c>
      <x:c r="H525" s="4" t="str">
        <x:v>combine_image</x:v>
      </x:c>
      <x:c r="I525" s="4" t="str">
        <x:v>枚举：resize,normalize,crop,expand,affine_crop,sequence,combine_image,dino_encode</x:v>
      </x:c>
      <x:c r="J525" s="4" t="str"/>
      <x:c r="K525" s="4" t="str">
        <x:v>预处理操作类型</x:v>
      </x:c>
      <x:c r="L525" s="4" t="str">
        <x:v>依次选每个枚举；非法值；保存刷新；触发依赖字段</x:v>
      </x:c>
      <x:c r="M525" s="4" t="str">
        <x:v>FLOW-009</x:v>
      </x:c>
      <x:c r="N525" s="4" t="str">
        <x:v>未执行</x:v>
      </x:c>
      <x:c r="O525" s="12" t="str"/>
    </x:row>
    <x:row r="526" ht="32" customHeight="1">
      <x:c r="A526" s="9" t="str">
        <x:v>PAR-0522</x:v>
      </x:c>
      <x:c r="B526" s="9" t="str">
        <x:v>组件</x:v>
      </x:c>
      <x:c r="C526" s="9" t="str">
        <x:v>modelComponents:PR0007</x:v>
      </x:c>
      <x:c r="D526" s="9" t="str">
        <x:v>combine_image组件</x:v>
      </x:c>
      <x:c r="E526" s="9" t="str">
        <x:v>count</x:v>
      </x:c>
      <x:c r="F526" s="9" t="str">
        <x:v>图像数量</x:v>
      </x:c>
      <x:c r="G526" s="9" t="str">
        <x:v>bm1688,cv186x,x86</x:v>
      </x:c>
      <x:c r="H526" s="9" t="str">
        <x:v>4</x:v>
      </x:c>
      <x:c r="I526" s="9" t="str">
        <x:v>min=; max=; regex=</x:v>
      </x:c>
      <x:c r="J526" s="9" t="str"/>
      <x:c r="K526" s="9" t="str">
        <x:v>图像数量</x:v>
      </x:c>
      <x:c r="L526" s="9" t="str">
        <x:v>默认/合法替代/空/非法类型；按已确认范围测min、max及相邻越界；保存回读并验证行为</x:v>
      </x:c>
      <x:c r="M526" s="9" t="str">
        <x:v>FLOW-009</x:v>
      </x:c>
      <x:c r="N526" s="9" t="str">
        <x:v>未执行</x:v>
      </x:c>
      <x:c r="O526" s="12" t="str"/>
    </x:row>
    <x:row r="527" ht="32" customHeight="1">
      <x:c r="A527" s="4" t="str">
        <x:v>PAR-0523</x:v>
      </x:c>
      <x:c r="B527" s="4" t="str">
        <x:v>组件</x:v>
      </x:c>
      <x:c r="C527" s="4" t="str">
        <x:v>modelComponents:PR0007</x:v>
      </x:c>
      <x:c r="D527" s="4" t="str">
        <x:v>combine_image组件</x:v>
      </x:c>
      <x:c r="E527" s="4" t="str">
        <x:v>dst_width</x:v>
      </x:c>
      <x:c r="F527" s="4" t="str">
        <x:v>目标宽度</x:v>
      </x:c>
      <x:c r="G527" s="4" t="str">
        <x:v>bm1688,cv186x,x86</x:v>
      </x:c>
      <x:c r="H527" s="4" t="str">
        <x:v>640</x:v>
      </x:c>
      <x:c r="I527" s="4" t="str">
        <x:v>min=; max=; regex=</x:v>
      </x:c>
      <x:c r="J527" s="4" t="str"/>
      <x:c r="K527" s="4" t="str">
        <x:v>目标宽度</x:v>
      </x:c>
      <x:c r="L527" s="4" t="str">
        <x:v>默认/合法替代/空/非法类型；按已确认范围测min、max及相邻越界；保存回读并验证行为</x:v>
      </x:c>
      <x:c r="M527" s="4" t="str">
        <x:v>FLOW-009</x:v>
      </x:c>
      <x:c r="N527" s="4" t="str">
        <x:v>未执行</x:v>
      </x:c>
      <x:c r="O527" s="12" t="str"/>
    </x:row>
    <x:row r="528" ht="32" customHeight="1">
      <x:c r="A528" s="9" t="str">
        <x:v>PAR-0524</x:v>
      </x:c>
      <x:c r="B528" s="9" t="str">
        <x:v>组件</x:v>
      </x:c>
      <x:c r="C528" s="9" t="str">
        <x:v>modelComponents:PR0007</x:v>
      </x:c>
      <x:c r="D528" s="9" t="str">
        <x:v>combine_image组件</x:v>
      </x:c>
      <x:c r="E528" s="9" t="str">
        <x:v>dst_height</x:v>
      </x:c>
      <x:c r="F528" s="9" t="str">
        <x:v>目标高度</x:v>
      </x:c>
      <x:c r="G528" s="9" t="str">
        <x:v>bm1688,cv186x,x86</x:v>
      </x:c>
      <x:c r="H528" s="9" t="str">
        <x:v>640</x:v>
      </x:c>
      <x:c r="I528" s="9" t="str">
        <x:v>min=; max=; regex=</x:v>
      </x:c>
      <x:c r="J528" s="9" t="str"/>
      <x:c r="K528" s="9" t="str">
        <x:v>目标高度</x:v>
      </x:c>
      <x:c r="L528" s="9" t="str">
        <x:v>默认/合法替代/空/非法类型；按已确认范围测min、max及相邻越界；保存回读并验证行为</x:v>
      </x:c>
      <x:c r="M528" s="9" t="str">
        <x:v>FLOW-009</x:v>
      </x:c>
      <x:c r="N528" s="9" t="str">
        <x:v>未执行</x:v>
      </x:c>
      <x:c r="O528" s="12" t="str"/>
    </x:row>
    <x:row r="529" ht="40" customHeight="1">
      <x:c r="A529" s="4" t="str">
        <x:v>PAR-0525</x:v>
      </x:c>
      <x:c r="B529" s="4" t="str">
        <x:v>组件</x:v>
      </x:c>
      <x:c r="C529" s="4" t="str">
        <x:v>modelComponents:PR0008</x:v>
      </x:c>
      <x:c r="D529" s="4" t="str">
        <x:v>dino_encode组件</x:v>
      </x:c>
      <x:c r="E529" s="4" t="str">
        <x:v>op</x:v>
      </x:c>
      <x:c r="F529" s="4" t="str">
        <x:v>预处理操作类型</x:v>
      </x:c>
      <x:c r="G529" s="4" t="str">
        <x:v>bm1688,cv186x,x86</x:v>
      </x:c>
      <x:c r="H529" s="4" t="str">
        <x:v>dino_encode</x:v>
      </x:c>
      <x:c r="I529" s="4" t="str">
        <x:v>枚举：resize,normalize,crop,expand,affine_crop,sequence,combine_image,dino_encode</x:v>
      </x:c>
      <x:c r="J529" s="4" t="str"/>
      <x:c r="K529" s="4" t="str">
        <x:v>预处理操作类型</x:v>
      </x:c>
      <x:c r="L529" s="4" t="str">
        <x:v>依次选每个枚举；非法值；保存刷新；触发依赖字段</x:v>
      </x:c>
      <x:c r="M529" s="4" t="str">
        <x:v>FLOW-009</x:v>
      </x:c>
      <x:c r="N529" s="4" t="str">
        <x:v>未执行</x:v>
      </x:c>
      <x:c r="O529" s="12" t="str"/>
    </x:row>
    <x:row r="530" ht="32" customHeight="1">
      <x:c r="A530" s="9" t="str">
        <x:v>PAR-0526</x:v>
      </x:c>
      <x:c r="B530" s="9" t="str">
        <x:v>组件</x:v>
      </x:c>
      <x:c r="C530" s="9" t="str">
        <x:v>modelComponents:PR0008</x:v>
      </x:c>
      <x:c r="D530" s="9" t="str">
        <x:v>dino_encode组件</x:v>
      </x:c>
      <x:c r="E530" s="9" t="str">
        <x:v>dst_width</x:v>
      </x:c>
      <x:c r="F530" s="9" t="str">
        <x:v>目标宽度</x:v>
      </x:c>
      <x:c r="G530" s="9" t="str">
        <x:v>bm1688,cv186x</x:v>
      </x:c>
      <x:c r="H530" s="9" t="str">
        <x:v>1024</x:v>
      </x:c>
      <x:c r="I530" s="9" t="str">
        <x:v>min=; max=; regex=</x:v>
      </x:c>
      <x:c r="J530" s="9" t="str"/>
      <x:c r="K530" s="9" t="str">
        <x:v>目标宽度</x:v>
      </x:c>
      <x:c r="L530" s="9" t="str">
        <x:v>默认/合法替代/空/非法类型；按已确认范围测min、max及相邻越界；保存回读并验证行为</x:v>
      </x:c>
      <x:c r="M530" s="9" t="str">
        <x:v>FLOW-009</x:v>
      </x:c>
      <x:c r="N530" s="9" t="str">
        <x:v>未执行</x:v>
      </x:c>
      <x:c r="O530" s="12" t="str"/>
    </x:row>
    <x:row r="531" ht="32" customHeight="1">
      <x:c r="A531" s="4" t="str">
        <x:v>PAR-0527</x:v>
      </x:c>
      <x:c r="B531" s="4" t="str">
        <x:v>组件</x:v>
      </x:c>
      <x:c r="C531" s="4" t="str">
        <x:v>modelComponents:PR0008</x:v>
      </x:c>
      <x:c r="D531" s="4" t="str">
        <x:v>dino_encode组件</x:v>
      </x:c>
      <x:c r="E531" s="4" t="str">
        <x:v>dst_height</x:v>
      </x:c>
      <x:c r="F531" s="4" t="str">
        <x:v>目标高度</x:v>
      </x:c>
      <x:c r="G531" s="4" t="str">
        <x:v>bm1688,cv186x</x:v>
      </x:c>
      <x:c r="H531" s="4" t="str">
        <x:v>1024</x:v>
      </x:c>
      <x:c r="I531" s="4" t="str">
        <x:v>min=; max=; regex=</x:v>
      </x:c>
      <x:c r="J531" s="4" t="str"/>
      <x:c r="K531" s="4" t="str">
        <x:v>目标高度</x:v>
      </x:c>
      <x:c r="L531" s="4" t="str">
        <x:v>默认/合法替代/空/非法类型；按已确认范围测min、max及相邻越界；保存回读并验证行为</x:v>
      </x:c>
      <x:c r="M531" s="4" t="str">
        <x:v>FLOW-009</x:v>
      </x:c>
      <x:c r="N531" s="4" t="str">
        <x:v>未执行</x:v>
      </x:c>
      <x:c r="O531" s="12" t="str"/>
    </x:row>
    <x:row r="532" ht="32" customHeight="1">
      <x:c r="A532" s="9" t="str">
        <x:v>PAR-0528</x:v>
      </x:c>
      <x:c r="B532" s="9" t="str">
        <x:v>组件</x:v>
      </x:c>
      <x:c r="C532" s="9" t="str">
        <x:v>modelComponents:PR0008</x:v>
      </x:c>
      <x:c r="D532" s="9" t="str">
        <x:v>dino_encode组件</x:v>
      </x:c>
      <x:c r="E532" s="9" t="str">
        <x:v>is_bgr</x:v>
      </x:c>
      <x:c r="F532" s="9" t="str">
        <x:v>BGR格式</x:v>
      </x:c>
      <x:c r="G532" s="9" t="str">
        <x:v>bm1688,cv186x</x:v>
      </x:c>
      <x:c r="H532" s="9" t="str">
        <x:v>1</x:v>
      </x:c>
      <x:c r="I532" s="9" t="str">
        <x:v>min=; max=; regex=</x:v>
      </x:c>
      <x:c r="J532" s="9" t="str"/>
      <x:c r="K532" s="9" t="str">
        <x:v>是否为BGR格式</x:v>
      </x:c>
      <x:c r="L532" s="9" t="str">
        <x:v>默认/合法替代/空/非法类型；按已确认范围测min、max及相邻越界；保存回读并验证行为</x:v>
      </x:c>
      <x:c r="M532" s="9" t="str">
        <x:v>FLOW-009</x:v>
      </x:c>
      <x:c r="N532" s="9" t="str">
        <x:v>未执行</x:v>
      </x:c>
      <x:c r="O532" s="12" t="str"/>
    </x:row>
    <x:row r="533" ht="32" customHeight="1">
      <x:c r="A533" s="4" t="str">
        <x:v>PAR-0529</x:v>
      </x:c>
      <x:c r="B533" s="4" t="str">
        <x:v>组件</x:v>
      </x:c>
      <x:c r="C533" s="4" t="str">
        <x:v>modelComponents:PR0008</x:v>
      </x:c>
      <x:c r="D533" s="4" t="str">
        <x:v>dino_encode组件</x:v>
      </x:c>
      <x:c r="E533" s="4" t="str">
        <x:v>mean</x:v>
      </x:c>
      <x:c r="F533" s="4" t="str">
        <x:v>均值</x:v>
      </x:c>
      <x:c r="G533" s="4" t="str">
        <x:v>bm1688,cv186x,x86</x:v>
      </x:c>
      <x:c r="H533" s="4" t="str">
        <x:v>[0.485, 0.456, 0.406]</x:v>
      </x:c>
      <x:c r="I533" s="4" t="str">
        <x:v>min=; max=; regex=</x:v>
      </x:c>
      <x:c r="J533" s="4" t="str"/>
      <x:c r="K533" s="4" t="str">
        <x:v>归一化均值 [R, G, B]</x:v>
      </x:c>
      <x:c r="L533" s="4" t="str">
        <x:v>默认/合法替代/空/非法类型；按已确认范围测min、max及相邻越界；保存回读并验证行为</x:v>
      </x:c>
      <x:c r="M533" s="4" t="str">
        <x:v>FLOW-009</x:v>
      </x:c>
      <x:c r="N533" s="4" t="str">
        <x:v>未执行</x:v>
      </x:c>
      <x:c r="O533" s="12" t="str"/>
    </x:row>
    <x:row r="534" ht="32" customHeight="1">
      <x:c r="A534" s="9" t="str">
        <x:v>PAR-0530</x:v>
      </x:c>
      <x:c r="B534" s="9" t="str">
        <x:v>组件</x:v>
      </x:c>
      <x:c r="C534" s="9" t="str">
        <x:v>modelComponents:PR0008</x:v>
      </x:c>
      <x:c r="D534" s="9" t="str">
        <x:v>dino_encode组件</x:v>
      </x:c>
      <x:c r="E534" s="9" t="str">
        <x:v>std</x:v>
      </x:c>
      <x:c r="F534" s="9" t="str">
        <x:v>标准差</x:v>
      </x:c>
      <x:c r="G534" s="9" t="str">
        <x:v>bm1688,cv186x,x86</x:v>
      </x:c>
      <x:c r="H534" s="9" t="str">
        <x:v>[0.229, 0.224, 0.225]</x:v>
      </x:c>
      <x:c r="I534" s="9" t="str">
        <x:v>min=; max=; regex=</x:v>
      </x:c>
      <x:c r="J534" s="9" t="str"/>
      <x:c r="K534" s="9" t="str">
        <x:v>归一化标准差 [R, G, B]</x:v>
      </x:c>
      <x:c r="L534" s="9" t="str">
        <x:v>默认/合法替代/空/非法类型；按已确认范围测min、max及相邻越界；保存回读并验证行为</x:v>
      </x:c>
      <x:c r="M534" s="9" t="str">
        <x:v>FLOW-009</x:v>
      </x:c>
      <x:c r="N534" s="9" t="str">
        <x:v>未执行</x:v>
      </x:c>
      <x:c r="O534" s="12" t="str"/>
    </x:row>
    <x:row r="535" ht="40" customHeight="1">
      <x:c r="A535" s="4" t="str">
        <x:v>PAR-0531</x:v>
      </x:c>
      <x:c r="B535" s="4" t="str">
        <x:v>组件</x:v>
      </x:c>
      <x:c r="C535" s="4" t="str">
        <x:v>modelComponents:PT0001</x:v>
      </x:c>
      <x:c r="D535" s="4" t="str">
        <x:v>yolo_postprocess组件</x:v>
      </x:c>
      <x:c r="E535" s="4" t="str">
        <x:v>op</x:v>
      </x:c>
      <x:c r="F535" s="4" t="str">
        <x:v>后处理操作类型</x:v>
      </x:c>
      <x:c r="G535" s="4" t="str">
        <x:v>bm1688,cv186x,x86</x:v>
      </x:c>
      <x:c r="H535" s="4" t="str">
        <x:v>yolo_postprocess</x:v>
      </x:c>
      <x:c r="I535" s="4" t="str">
        <x:v>枚举：yolo_postprocess,yolo_npu_postprocess,yolov8_postprocess,yolo_e2e_postprocess,sum,arg_max,split,split_arg_max,dino_decode</x:v>
      </x:c>
      <x:c r="J535" s="4" t="str"/>
      <x:c r="K535" s="4" t="str">
        <x:v>后处理操作类型</x:v>
      </x:c>
      <x:c r="L535" s="4" t="str">
        <x:v>依次选每个枚举；非法值；保存刷新；触发依赖字段</x:v>
      </x:c>
      <x:c r="M535" s="4" t="str">
        <x:v>FLOW-009</x:v>
      </x:c>
      <x:c r="N535" s="4" t="str">
        <x:v>未执行</x:v>
      </x:c>
      <x:c r="O535" s="12" t="str"/>
    </x:row>
    <x:row r="536" ht="32" customHeight="1">
      <x:c r="A536" s="9" t="str">
        <x:v>PAR-0532</x:v>
      </x:c>
      <x:c r="B536" s="9" t="str">
        <x:v>组件</x:v>
      </x:c>
      <x:c r="C536" s="9" t="str">
        <x:v>modelComponents:PT0001</x:v>
      </x:c>
      <x:c r="D536" s="9" t="str">
        <x:v>yolo_postprocess组件</x:v>
      </x:c>
      <x:c r="E536" s="9" t="str">
        <x:v>nms_threshold</x:v>
      </x:c>
      <x:c r="F536" s="9" t="str">
        <x:v>NMS阈值</x:v>
      </x:c>
      <x:c r="G536" s="9" t="str">
        <x:v>bm1688,cv186x,x86</x:v>
      </x:c>
      <x:c r="H536" s="9" t="str">
        <x:v>0.35</x:v>
      </x:c>
      <x:c r="I536" s="9" t="str">
        <x:v>min=; max=; regex=</x:v>
      </x:c>
      <x:c r="J536" s="9" t="str"/>
      <x:c r="K536" s="9" t="str">
        <x:v>NMS阈值</x:v>
      </x:c>
      <x:c r="L536" s="9" t="str">
        <x:v>默认/合法替代/空/非法类型；按已确认范围测min、max及相邻越界；保存回读并验证行为</x:v>
      </x:c>
      <x:c r="M536" s="9" t="str">
        <x:v>FLOW-009</x:v>
      </x:c>
      <x:c r="N536" s="9" t="str">
        <x:v>未执行</x:v>
      </x:c>
      <x:c r="O536" s="12" t="str"/>
    </x:row>
    <x:row r="537" ht="32" customHeight="1">
      <x:c r="A537" s="4" t="str">
        <x:v>PAR-0533</x:v>
      </x:c>
      <x:c r="B537" s="4" t="str">
        <x:v>组件</x:v>
      </x:c>
      <x:c r="C537" s="4" t="str">
        <x:v>modelComponents:PT0001</x:v>
      </x:c>
      <x:c r="D537" s="4" t="str">
        <x:v>yolo_postprocess组件</x:v>
      </x:c>
      <x:c r="E537" s="4" t="str">
        <x:v>nms_detection_conf</x:v>
      </x:c>
      <x:c r="F537" s="4" t="str">
        <x:v>检测置信度</x:v>
      </x:c>
      <x:c r="G537" s="4" t="str">
        <x:v>bm1688,cv186x,x86</x:v>
      </x:c>
      <x:c r="H537" s="4" t="str">
        <x:v>0.1</x:v>
      </x:c>
      <x:c r="I537" s="4" t="str">
        <x:v>min=; max=; regex=</x:v>
      </x:c>
      <x:c r="J537" s="4" t="str"/>
      <x:c r="K537" s="4" t="str">
        <x:v>NMS检测置信度</x:v>
      </x:c>
      <x:c r="L537" s="4" t="str">
        <x:v>默认/合法替代/空/非法类型；按已确认范围测min、max及相邻越界；保存回读并验证行为</x:v>
      </x:c>
      <x:c r="M537" s="4" t="str">
        <x:v>FLOW-009</x:v>
      </x:c>
      <x:c r="N537" s="4" t="str">
        <x:v>未执行</x:v>
      </x:c>
      <x:c r="O537" s="12" t="str"/>
    </x:row>
    <x:row r="538" ht="32" customHeight="1">
      <x:c r="A538" s="9" t="str">
        <x:v>PAR-0534</x:v>
      </x:c>
      <x:c r="B538" s="9" t="str">
        <x:v>组件</x:v>
      </x:c>
      <x:c r="C538" s="9" t="str">
        <x:v>modelComponents:PT0001</x:v>
      </x:c>
      <x:c r="D538" s="9" t="str">
        <x:v>yolo_postprocess组件</x:v>
      </x:c>
      <x:c r="E538" s="9" t="str">
        <x:v>top_k</x:v>
      </x:c>
      <x:c r="F538" s="9" t="str">
        <x:v>Top K</x:v>
      </x:c>
      <x:c r="G538" s="9" t="str">
        <x:v>bm1688,cv186x,x86</x:v>
      </x:c>
      <x:c r="H538" s="9" t="str">
        <x:v>1000</x:v>
      </x:c>
      <x:c r="I538" s="9" t="str">
        <x:v>min=; max=; regex=</x:v>
      </x:c>
      <x:c r="J538" s="9" t="str"/>
      <x:c r="K538" s="9" t="str">
        <x:v>保留前K个检测结果</x:v>
      </x:c>
      <x:c r="L538" s="9" t="str">
        <x:v>默认/合法替代/空/非法类型；按已确认范围测min、max及相邻越界；保存回读并验证行为</x:v>
      </x:c>
      <x:c r="M538" s="9" t="str">
        <x:v>FLOW-009</x:v>
      </x:c>
      <x:c r="N538" s="9" t="str">
        <x:v>未执行</x:v>
      </x:c>
      <x:c r="O538" s="12" t="str"/>
    </x:row>
    <x:row r="539" ht="40" customHeight="1">
      <x:c r="A539" s="4" t="str">
        <x:v>PAR-0535</x:v>
      </x:c>
      <x:c r="B539" s="4" t="str">
        <x:v>组件</x:v>
      </x:c>
      <x:c r="C539" s="4" t="str">
        <x:v>modelComponents:PT0002</x:v>
      </x:c>
      <x:c r="D539" s="4" t="str">
        <x:v>yolo_npu_postprocess组件</x:v>
      </x:c>
      <x:c r="E539" s="4" t="str">
        <x:v>op</x:v>
      </x:c>
      <x:c r="F539" s="4" t="str">
        <x:v>后处理操作类型</x:v>
      </x:c>
      <x:c r="G539" s="4" t="str">
        <x:v>bm1688,cv186x,x86</x:v>
      </x:c>
      <x:c r="H539" s="4" t="str">
        <x:v>yolo_npu_postprocess</x:v>
      </x:c>
      <x:c r="I539" s="4" t="str">
        <x:v>枚举：yolo_postprocess,yolo_npu_postprocess,yolov8_postprocess,yolo_e2e_postprocess,sum,arg_max,split,split_arg_max,dino_decode</x:v>
      </x:c>
      <x:c r="J539" s="4" t="str"/>
      <x:c r="K539" s="4" t="str">
        <x:v>后处理操作类型</x:v>
      </x:c>
      <x:c r="L539" s="4" t="str">
        <x:v>依次选每个枚举；非法值；保存刷新；触发依赖字段</x:v>
      </x:c>
      <x:c r="M539" s="4" t="str">
        <x:v>FLOW-009</x:v>
      </x:c>
      <x:c r="N539" s="4" t="str">
        <x:v>未执行</x:v>
      </x:c>
      <x:c r="O539" s="12" t="str"/>
    </x:row>
    <x:row r="540" ht="55" customHeight="1">
      <x:c r="A540" s="9" t="str">
        <x:v>PAR-0536</x:v>
      </x:c>
      <x:c r="B540" s="9" t="str">
        <x:v>组件</x:v>
      </x:c>
      <x:c r="C540" s="9" t="str">
        <x:v>modelComponents:PT0002</x:v>
      </x:c>
      <x:c r="D540" s="9" t="str">
        <x:v>yolo_npu_postprocess组件</x:v>
      </x:c>
      <x:c r="E540" s="9" t="str">
        <x:v>anchors</x:v>
      </x:c>
      <x:c r="F540" s="9" t="str">
        <x:v>锚点</x:v>
      </x:c>
      <x:c r="G540" s="9" t="str">
        <x:v>bm1688,cv186x,x86</x:v>
      </x:c>
      <x:c r="H540" s="9" t="str">
        <x:v>[[[10, 13], [16, 30], [33, 23]], [[30, 61], [62, 45], [59, 119]], [[116, 90], [156, 198], [373, 326]]]</x:v>
      </x:c>
      <x:c r="I540" s="9" t="str">
        <x:v>min=; max=; regex=</x:v>
      </x:c>
      <x:c r="J540" s="9" t="str"/>
      <x:c r="K540" s="9" t="str">
        <x:v>YOLO锚点配置</x:v>
      </x:c>
      <x:c r="L540" s="9" t="str">
        <x:v>默认/合法替代/空/非法类型；按已确认范围测min、max及相邻越界；保存回读并验证行为</x:v>
      </x:c>
      <x:c r="M540" s="9" t="str">
        <x:v>FLOW-009</x:v>
      </x:c>
      <x:c r="N540" s="9" t="str">
        <x:v>未执行</x:v>
      </x:c>
      <x:c r="O540" s="12" t="str"/>
    </x:row>
    <x:row r="541" ht="32" customHeight="1">
      <x:c r="A541" s="4" t="str">
        <x:v>PAR-0537</x:v>
      </x:c>
      <x:c r="B541" s="4" t="str">
        <x:v>组件</x:v>
      </x:c>
      <x:c r="C541" s="4" t="str">
        <x:v>modelComponents:PT0002</x:v>
      </x:c>
      <x:c r="D541" s="4" t="str">
        <x:v>yolo_npu_postprocess组件</x:v>
      </x:c>
      <x:c r="E541" s="4" t="str">
        <x:v>stride</x:v>
      </x:c>
      <x:c r="F541" s="4" t="str">
        <x:v>步长</x:v>
      </x:c>
      <x:c r="G541" s="4" t="str">
        <x:v>bm1688,cv186x,x86</x:v>
      </x:c>
      <x:c r="H541" s="4" t="str">
        <x:v>[8, 16, 32]</x:v>
      </x:c>
      <x:c r="I541" s="4" t="str">
        <x:v>min=; max=; regex=</x:v>
      </x:c>
      <x:c r="J541" s="4" t="str"/>
      <x:c r="K541" s="4" t="str">
        <x:v>YOLO步长</x:v>
      </x:c>
      <x:c r="L541" s="4" t="str">
        <x:v>默认/合法替代/空/非法类型；按已确认范围测min、max及相邻越界；保存回读并验证行为</x:v>
      </x:c>
      <x:c r="M541" s="4" t="str">
        <x:v>FLOW-009</x:v>
      </x:c>
      <x:c r="N541" s="4" t="str">
        <x:v>未执行</x:v>
      </x:c>
      <x:c r="O541" s="12" t="str"/>
    </x:row>
    <x:row r="542" ht="32" customHeight="1">
      <x:c r="A542" s="9" t="str">
        <x:v>PAR-0538</x:v>
      </x:c>
      <x:c r="B542" s="9" t="str">
        <x:v>组件</x:v>
      </x:c>
      <x:c r="C542" s="9" t="str">
        <x:v>modelComponents:PT0002</x:v>
      </x:c>
      <x:c r="D542" s="9" t="str">
        <x:v>yolo_npu_postprocess组件</x:v>
      </x:c>
      <x:c r="E542" s="9" t="str">
        <x:v>nms_threshold</x:v>
      </x:c>
      <x:c r="F542" s="9" t="str">
        <x:v>NMS阈值</x:v>
      </x:c>
      <x:c r="G542" s="9" t="str">
        <x:v>bm1688,cv186x,x86</x:v>
      </x:c>
      <x:c r="H542" s="9" t="str">
        <x:v>0.35</x:v>
      </x:c>
      <x:c r="I542" s="9" t="str">
        <x:v>min=; max=; regex=</x:v>
      </x:c>
      <x:c r="J542" s="9" t="str"/>
      <x:c r="K542" s="9" t="str">
        <x:v>NMS阈值</x:v>
      </x:c>
      <x:c r="L542" s="9" t="str">
        <x:v>默认/合法替代/空/非法类型；按已确认范围测min、max及相邻越界；保存回读并验证行为</x:v>
      </x:c>
      <x:c r="M542" s="9" t="str">
        <x:v>FLOW-009</x:v>
      </x:c>
      <x:c r="N542" s="9" t="str">
        <x:v>未执行</x:v>
      </x:c>
      <x:c r="O542" s="12" t="str"/>
    </x:row>
    <x:row r="543" ht="32" customHeight="1">
      <x:c r="A543" s="4" t="str">
        <x:v>PAR-0539</x:v>
      </x:c>
      <x:c r="B543" s="4" t="str">
        <x:v>组件</x:v>
      </x:c>
      <x:c r="C543" s="4" t="str">
        <x:v>modelComponents:PT0002</x:v>
      </x:c>
      <x:c r="D543" s="4" t="str">
        <x:v>yolo_npu_postprocess组件</x:v>
      </x:c>
      <x:c r="E543" s="4" t="str">
        <x:v>nms_detection_conf</x:v>
      </x:c>
      <x:c r="F543" s="4" t="str">
        <x:v>检测置信度</x:v>
      </x:c>
      <x:c r="G543" s="4" t="str">
        <x:v>bm1688,cv186x,x86</x:v>
      </x:c>
      <x:c r="H543" s="4" t="str">
        <x:v>0.1</x:v>
      </x:c>
      <x:c r="I543" s="4" t="str">
        <x:v>min=; max=; regex=</x:v>
      </x:c>
      <x:c r="J543" s="4" t="str"/>
      <x:c r="K543" s="4" t="str">
        <x:v>NMS检测置信度</x:v>
      </x:c>
      <x:c r="L543" s="4" t="str">
        <x:v>默认/合法替代/空/非法类型；按已确认范围测min、max及相邻越界；保存回读并验证行为</x:v>
      </x:c>
      <x:c r="M543" s="4" t="str">
        <x:v>FLOW-009</x:v>
      </x:c>
      <x:c r="N543" s="4" t="str">
        <x:v>未执行</x:v>
      </x:c>
      <x:c r="O543" s="12" t="str"/>
    </x:row>
    <x:row r="544" ht="32" customHeight="1">
      <x:c r="A544" s="9" t="str">
        <x:v>PAR-0540</x:v>
      </x:c>
      <x:c r="B544" s="9" t="str">
        <x:v>组件</x:v>
      </x:c>
      <x:c r="C544" s="9" t="str">
        <x:v>modelComponents:PT0002</x:v>
      </x:c>
      <x:c r="D544" s="9" t="str">
        <x:v>yolo_npu_postprocess组件</x:v>
      </x:c>
      <x:c r="E544" s="9" t="str">
        <x:v>top_k</x:v>
      </x:c>
      <x:c r="F544" s="9" t="str">
        <x:v>Top K</x:v>
      </x:c>
      <x:c r="G544" s="9" t="str">
        <x:v>bm1688,cv186x,x86</x:v>
      </x:c>
      <x:c r="H544" s="9" t="str">
        <x:v>1000</x:v>
      </x:c>
      <x:c r="I544" s="9" t="str">
        <x:v>min=; max=; regex=</x:v>
      </x:c>
      <x:c r="J544" s="9" t="str"/>
      <x:c r="K544" s="9" t="str">
        <x:v>保留前K个检测结果</x:v>
      </x:c>
      <x:c r="L544" s="9" t="str">
        <x:v>默认/合法替代/空/非法类型；按已确认范围测min、max及相邻越界；保存回读并验证行为</x:v>
      </x:c>
      <x:c r="M544" s="9" t="str">
        <x:v>FLOW-009</x:v>
      </x:c>
      <x:c r="N544" s="9" t="str">
        <x:v>未执行</x:v>
      </x:c>
      <x:c r="O544" s="12" t="str"/>
    </x:row>
    <x:row r="545" ht="40" customHeight="1">
      <x:c r="A545" s="4" t="str">
        <x:v>PAR-0541</x:v>
      </x:c>
      <x:c r="B545" s="4" t="str">
        <x:v>组件</x:v>
      </x:c>
      <x:c r="C545" s="4" t="str">
        <x:v>modelComponents:PT0003</x:v>
      </x:c>
      <x:c r="D545" s="4" t="str">
        <x:v>yolov8_postprocess组件</x:v>
      </x:c>
      <x:c r="E545" s="4" t="str">
        <x:v>op</x:v>
      </x:c>
      <x:c r="F545" s="4" t="str">
        <x:v>后处理操作类型</x:v>
      </x:c>
      <x:c r="G545" s="4" t="str">
        <x:v>bm1688,cv186x,x86</x:v>
      </x:c>
      <x:c r="H545" s="4" t="str">
        <x:v>yolov8_postprocess</x:v>
      </x:c>
      <x:c r="I545" s="4" t="str">
        <x:v>枚举：yolo_postprocess,yolo_npu_postprocess,yolov8_postprocess,yolo_e2e_postprocess,sum,arg_max,split,split_arg_max,dino_decode</x:v>
      </x:c>
      <x:c r="J545" s="4" t="str"/>
      <x:c r="K545" s="4" t="str">
        <x:v>后处理操作类型</x:v>
      </x:c>
      <x:c r="L545" s="4" t="str">
        <x:v>依次选每个枚举；非法值；保存刷新；触发依赖字段</x:v>
      </x:c>
      <x:c r="M545" s="4" t="str">
        <x:v>FLOW-009</x:v>
      </x:c>
      <x:c r="N545" s="4" t="str">
        <x:v>未执行</x:v>
      </x:c>
      <x:c r="O545" s="12" t="str"/>
    </x:row>
    <x:row r="546" ht="32" customHeight="1">
      <x:c r="A546" s="9" t="str">
        <x:v>PAR-0542</x:v>
      </x:c>
      <x:c r="B546" s="9" t="str">
        <x:v>组件</x:v>
      </x:c>
      <x:c r="C546" s="9" t="str">
        <x:v>modelComponents:PT0003</x:v>
      </x:c>
      <x:c r="D546" s="9" t="str">
        <x:v>yolov8_postprocess组件</x:v>
      </x:c>
      <x:c r="E546" s="9" t="str">
        <x:v>nms_threshold</x:v>
      </x:c>
      <x:c r="F546" s="9" t="str">
        <x:v>NMS阈值</x:v>
      </x:c>
      <x:c r="G546" s="9" t="str">
        <x:v>bm1688,cv186x,x86</x:v>
      </x:c>
      <x:c r="H546" s="9" t="str">
        <x:v>0.35</x:v>
      </x:c>
      <x:c r="I546" s="9" t="str">
        <x:v>min=; max=; regex=</x:v>
      </x:c>
      <x:c r="J546" s="9" t="str"/>
      <x:c r="K546" s="9" t="str">
        <x:v>NMS阈值</x:v>
      </x:c>
      <x:c r="L546" s="9" t="str">
        <x:v>默认/合法替代/空/非法类型；按已确认范围测min、max及相邻越界；保存回读并验证行为</x:v>
      </x:c>
      <x:c r="M546" s="9" t="str">
        <x:v>FLOW-009</x:v>
      </x:c>
      <x:c r="N546" s="9" t="str">
        <x:v>未执行</x:v>
      </x:c>
      <x:c r="O546" s="12" t="str"/>
    </x:row>
    <x:row r="547" ht="32" customHeight="1">
      <x:c r="A547" s="4" t="str">
        <x:v>PAR-0543</x:v>
      </x:c>
      <x:c r="B547" s="4" t="str">
        <x:v>组件</x:v>
      </x:c>
      <x:c r="C547" s="4" t="str">
        <x:v>modelComponents:PT0003</x:v>
      </x:c>
      <x:c r="D547" s="4" t="str">
        <x:v>yolov8_postprocess组件</x:v>
      </x:c>
      <x:c r="E547" s="4" t="str">
        <x:v>nms_detection_conf</x:v>
      </x:c>
      <x:c r="F547" s="4" t="str">
        <x:v>检测置信度</x:v>
      </x:c>
      <x:c r="G547" s="4" t="str">
        <x:v>bm1688,cv186x,x86</x:v>
      </x:c>
      <x:c r="H547" s="4" t="str">
        <x:v>0.1</x:v>
      </x:c>
      <x:c r="I547" s="4" t="str">
        <x:v>min=; max=; regex=</x:v>
      </x:c>
      <x:c r="J547" s="4" t="str"/>
      <x:c r="K547" s="4" t="str">
        <x:v>NMS检测置信度</x:v>
      </x:c>
      <x:c r="L547" s="4" t="str">
        <x:v>默认/合法替代/空/非法类型；按已确认范围测min、max及相邻越界；保存回读并验证行为</x:v>
      </x:c>
      <x:c r="M547" s="4" t="str">
        <x:v>FLOW-009</x:v>
      </x:c>
      <x:c r="N547" s="4" t="str">
        <x:v>未执行</x:v>
      </x:c>
      <x:c r="O547" s="12" t="str"/>
    </x:row>
    <x:row r="548" ht="32" customHeight="1">
      <x:c r="A548" s="9" t="str">
        <x:v>PAR-0544</x:v>
      </x:c>
      <x:c r="B548" s="9" t="str">
        <x:v>组件</x:v>
      </x:c>
      <x:c r="C548" s="9" t="str">
        <x:v>modelComponents:PT0003</x:v>
      </x:c>
      <x:c r="D548" s="9" t="str">
        <x:v>yolov8_postprocess组件</x:v>
      </x:c>
      <x:c r="E548" s="9" t="str">
        <x:v>top_k</x:v>
      </x:c>
      <x:c r="F548" s="9" t="str">
        <x:v>Top K</x:v>
      </x:c>
      <x:c r="G548" s="9" t="str">
        <x:v>bm1688,cv186x,x86</x:v>
      </x:c>
      <x:c r="H548" s="9" t="str">
        <x:v>1000</x:v>
      </x:c>
      <x:c r="I548" s="9" t="str">
        <x:v>min=; max=; regex=</x:v>
      </x:c>
      <x:c r="J548" s="9" t="str"/>
      <x:c r="K548" s="9" t="str">
        <x:v>保留前K个检测结果</x:v>
      </x:c>
      <x:c r="L548" s="9" t="str">
        <x:v>默认/合法替代/空/非法类型；按已确认范围测min、max及相邻越界；保存回读并验证行为</x:v>
      </x:c>
      <x:c r="M548" s="9" t="str">
        <x:v>FLOW-009</x:v>
      </x:c>
      <x:c r="N548" s="9" t="str">
        <x:v>未执行</x:v>
      </x:c>
      <x:c r="O548" s="12" t="str"/>
    </x:row>
    <x:row r="549" ht="40" customHeight="1">
      <x:c r="A549" s="4" t="str">
        <x:v>PAR-0545</x:v>
      </x:c>
      <x:c r="B549" s="4" t="str">
        <x:v>组件</x:v>
      </x:c>
      <x:c r="C549" s="4" t="str">
        <x:v>modelComponents:PT0009</x:v>
      </x:c>
      <x:c r="D549" s="4" t="str">
        <x:v>yolo_e2e_postprocess组件</x:v>
      </x:c>
      <x:c r="E549" s="4" t="str">
        <x:v>op</x:v>
      </x:c>
      <x:c r="F549" s="4" t="str">
        <x:v>后处理操作类型</x:v>
      </x:c>
      <x:c r="G549" s="4" t="str">
        <x:v>bm1688,cv186x,x86</x:v>
      </x:c>
      <x:c r="H549" s="4" t="str">
        <x:v>yolo_e2e_postprocess</x:v>
      </x:c>
      <x:c r="I549" s="4" t="str">
        <x:v>枚举：yolo_postprocess,yolo_npu_postprocess,yolov8_postprocess,yolo_e2e_postprocess,sum,arg_max,split,split_arg_max,dino_decode</x:v>
      </x:c>
      <x:c r="J549" s="4" t="str"/>
      <x:c r="K549" s="4" t="str">
        <x:v>端到端检测（NMS已内置，如YOLO26）</x:v>
      </x:c>
      <x:c r="L549" s="4" t="str">
        <x:v>依次选每个枚举；非法值；保存刷新；触发依赖字段</x:v>
      </x:c>
      <x:c r="M549" s="4" t="str">
        <x:v>FLOW-009</x:v>
      </x:c>
      <x:c r="N549" s="4" t="str">
        <x:v>未执行</x:v>
      </x:c>
      <x:c r="O549" s="12" t="str"/>
    </x:row>
    <x:row r="550" ht="32" customHeight="1">
      <x:c r="A550" s="9" t="str">
        <x:v>PAR-0546</x:v>
      </x:c>
      <x:c r="B550" s="9" t="str">
        <x:v>组件</x:v>
      </x:c>
      <x:c r="C550" s="9" t="str">
        <x:v>modelComponents:PT0009</x:v>
      </x:c>
      <x:c r="D550" s="9" t="str">
        <x:v>yolo_e2e_postprocess组件</x:v>
      </x:c>
      <x:c r="E550" s="9" t="str">
        <x:v>nms_detection_conf</x:v>
      </x:c>
      <x:c r="F550" s="9" t="str">
        <x:v>置信度阈值</x:v>
      </x:c>
      <x:c r="G550" s="9" t="str">
        <x:v>bm1688,cv186x,x86</x:v>
      </x:c>
      <x:c r="H550" s="9" t="str">
        <x:v>0.25</x:v>
      </x:c>
      <x:c r="I550" s="9" t="str">
        <x:v>min=; max=; regex=</x:v>
      </x:c>
      <x:c r="J550" s="9" t="str"/>
      <x:c r="K550" s="9" t="str">
        <x:v>检测置信度阈值（无NMS）</x:v>
      </x:c>
      <x:c r="L550" s="9" t="str">
        <x:v>默认/合法替代/空/非法类型；按已确认范围测min、max及相邻越界；保存回读并验证行为</x:v>
      </x:c>
      <x:c r="M550" s="9" t="str">
        <x:v>FLOW-009</x:v>
      </x:c>
      <x:c r="N550" s="9" t="str">
        <x:v>未执行</x:v>
      </x:c>
      <x:c r="O550" s="12" t="str"/>
    </x:row>
    <x:row r="551" ht="32" customHeight="1">
      <x:c r="A551" s="4" t="str">
        <x:v>PAR-0547</x:v>
      </x:c>
      <x:c r="B551" s="4" t="str">
        <x:v>组件</x:v>
      </x:c>
      <x:c r="C551" s="4" t="str">
        <x:v>modelComponents:PT0009</x:v>
      </x:c>
      <x:c r="D551" s="4" t="str">
        <x:v>yolo_e2e_postprocess组件</x:v>
      </x:c>
      <x:c r="E551" s="4" t="str">
        <x:v>top_k</x:v>
      </x:c>
      <x:c r="F551" s="4" t="str">
        <x:v>Top K</x:v>
      </x:c>
      <x:c r="G551" s="4" t="str">
        <x:v>bm1688,cv186x,x86</x:v>
      </x:c>
      <x:c r="H551" s="4" t="str">
        <x:v>300</x:v>
      </x:c>
      <x:c r="I551" s="4" t="str">
        <x:v>min=; max=; regex=</x:v>
      </x:c>
      <x:c r="J551" s="4" t="str"/>
      <x:c r="K551" s="4" t="str">
        <x:v>保留前K个检测结果</x:v>
      </x:c>
      <x:c r="L551" s="4" t="str">
        <x:v>默认/合法替代/空/非法类型；按已确认范围测min、max及相邻越界；保存回读并验证行为</x:v>
      </x:c>
      <x:c r="M551" s="4" t="str">
        <x:v>FLOW-009</x:v>
      </x:c>
      <x:c r="N551" s="4" t="str">
        <x:v>未执行</x:v>
      </x:c>
      <x:c r="O551" s="12" t="str"/>
    </x:row>
    <x:row r="552" ht="40" customHeight="1">
      <x:c r="A552" s="9" t="str">
        <x:v>PAR-0548</x:v>
      </x:c>
      <x:c r="B552" s="9" t="str">
        <x:v>组件</x:v>
      </x:c>
      <x:c r="C552" s="9" t="str">
        <x:v>modelComponents:PT0004</x:v>
      </x:c>
      <x:c r="D552" s="9" t="str">
        <x:v>sum组件</x:v>
      </x:c>
      <x:c r="E552" s="9" t="str">
        <x:v>op</x:v>
      </x:c>
      <x:c r="F552" s="9" t="str">
        <x:v>后处理操作类型</x:v>
      </x:c>
      <x:c r="G552" s="9" t="str">
        <x:v>bm1688,cv186x,x86</x:v>
      </x:c>
      <x:c r="H552" s="9" t="str">
        <x:v>sum</x:v>
      </x:c>
      <x:c r="I552" s="9" t="str">
        <x:v>枚举：yolo_postprocess,yolo_npu_postprocess,yolov8_postprocess,yolo_e2e_postprocess,sum,arg_max,split,split_arg_max,dino_decode</x:v>
      </x:c>
      <x:c r="J552" s="9" t="str"/>
      <x:c r="K552" s="9" t="str">
        <x:v>后处理操作类型</x:v>
      </x:c>
      <x:c r="L552" s="9" t="str">
        <x:v>依次选每个枚举；非法值；保存刷新；触发依赖字段</x:v>
      </x:c>
      <x:c r="M552" s="9" t="str">
        <x:v>FLOW-009</x:v>
      </x:c>
      <x:c r="N552" s="9" t="str">
        <x:v>未执行</x:v>
      </x:c>
      <x:c r="O552" s="12" t="str"/>
    </x:row>
    <x:row r="553" ht="40" customHeight="1">
      <x:c r="A553" s="4" t="str">
        <x:v>PAR-0549</x:v>
      </x:c>
      <x:c r="B553" s="4" t="str">
        <x:v>组件</x:v>
      </x:c>
      <x:c r="C553" s="4" t="str">
        <x:v>modelComponents:PT0005</x:v>
      </x:c>
      <x:c r="D553" s="4" t="str">
        <x:v>arg_max组件</x:v>
      </x:c>
      <x:c r="E553" s="4" t="str">
        <x:v>op</x:v>
      </x:c>
      <x:c r="F553" s="4" t="str">
        <x:v>后处理操作类型</x:v>
      </x:c>
      <x:c r="G553" s="4" t="str">
        <x:v>bm1688,cv186x,x86</x:v>
      </x:c>
      <x:c r="H553" s="4" t="str">
        <x:v>arg_max</x:v>
      </x:c>
      <x:c r="I553" s="4" t="str">
        <x:v>枚举：yolo_postprocess,yolo_npu_postprocess,yolov8_postprocess,yolo_e2e_postprocess,sum,arg_max,split,split_arg_max,dino_decode</x:v>
      </x:c>
      <x:c r="J553" s="4" t="str"/>
      <x:c r="K553" s="4" t="str">
        <x:v>后处理操作类型</x:v>
      </x:c>
      <x:c r="L553" s="4" t="str">
        <x:v>依次选每个枚举；非法值；保存刷新；触发依赖字段</x:v>
      </x:c>
      <x:c r="M553" s="4" t="str">
        <x:v>FLOW-009</x:v>
      </x:c>
      <x:c r="N553" s="4" t="str">
        <x:v>未执行</x:v>
      </x:c>
      <x:c r="O553" s="12" t="str"/>
    </x:row>
    <x:row r="554" ht="32" customHeight="1">
      <x:c r="A554" s="9" t="str">
        <x:v>PAR-0550</x:v>
      </x:c>
      <x:c r="B554" s="9" t="str">
        <x:v>组件</x:v>
      </x:c>
      <x:c r="C554" s="9" t="str">
        <x:v>modelComponents:PT0005</x:v>
      </x:c>
      <x:c r="D554" s="9" t="str">
        <x:v>arg_max组件</x:v>
      </x:c>
      <x:c r="E554" s="9" t="str">
        <x:v>axis</x:v>
      </x:c>
      <x:c r="F554" s="9" t="str">
        <x:v>轴</x:v>
      </x:c>
      <x:c r="G554" s="9" t="str">
        <x:v>bm1688,cv186x,x86</x:v>
      </x:c>
      <x:c r="H554" s="9" t="str">
        <x:v>0</x:v>
      </x:c>
      <x:c r="I554" s="9" t="str">
        <x:v>min=; max=; regex=</x:v>
      </x:c>
      <x:c r="J554" s="9" t="str"/>
      <x:c r="K554" s="9" t="str">
        <x:v>按指定轴做 argmax</x:v>
      </x:c>
      <x:c r="L554" s="9" t="str">
        <x:v>默认/合法替代/空/非法类型；按已确认范围测min、max及相邻越界；保存回读并验证行为</x:v>
      </x:c>
      <x:c r="M554" s="9" t="str">
        <x:v>FLOW-009</x:v>
      </x:c>
      <x:c r="N554" s="9" t="str">
        <x:v>未执行</x:v>
      </x:c>
      <x:c r="O554" s="12" t="str"/>
    </x:row>
    <x:row r="555" ht="40" customHeight="1">
      <x:c r="A555" s="4" t="str">
        <x:v>PAR-0551</x:v>
      </x:c>
      <x:c r="B555" s="4" t="str">
        <x:v>组件</x:v>
      </x:c>
      <x:c r="C555" s="4" t="str">
        <x:v>modelComponents:PT0006</x:v>
      </x:c>
      <x:c r="D555" s="4" t="str">
        <x:v>split组件</x:v>
      </x:c>
      <x:c r="E555" s="4" t="str">
        <x:v>op</x:v>
      </x:c>
      <x:c r="F555" s="4" t="str">
        <x:v>后处理操作类型</x:v>
      </x:c>
      <x:c r="G555" s="4" t="str">
        <x:v>bm1688,cv186x,x86</x:v>
      </x:c>
      <x:c r="H555" s="4" t="str">
        <x:v>split</x:v>
      </x:c>
      <x:c r="I555" s="4" t="str">
        <x:v>枚举：yolo_postprocess,yolo_npu_postprocess,yolov8_postprocess,yolo_e2e_postprocess,sum,arg_max,split,split_arg_max,dino_decode</x:v>
      </x:c>
      <x:c r="J555" s="4" t="str"/>
      <x:c r="K555" s="4" t="str">
        <x:v>后处理操作类型</x:v>
      </x:c>
      <x:c r="L555" s="4" t="str">
        <x:v>依次选每个枚举；非法值；保存刷新；触发依赖字段</x:v>
      </x:c>
      <x:c r="M555" s="4" t="str">
        <x:v>FLOW-009</x:v>
      </x:c>
      <x:c r="N555" s="4" t="str">
        <x:v>未执行</x:v>
      </x:c>
      <x:c r="O555" s="12" t="str"/>
    </x:row>
    <x:row r="556" ht="32" customHeight="1">
      <x:c r="A556" s="9" t="str">
        <x:v>PAR-0552</x:v>
      </x:c>
      <x:c r="B556" s="9" t="str">
        <x:v>组件</x:v>
      </x:c>
      <x:c r="C556" s="9" t="str">
        <x:v>modelComponents:PT0006</x:v>
      </x:c>
      <x:c r="D556" s="9" t="str">
        <x:v>split组件</x:v>
      </x:c>
      <x:c r="E556" s="9" t="str">
        <x:v>axis</x:v>
      </x:c>
      <x:c r="F556" s="9" t="str">
        <x:v>轴</x:v>
      </x:c>
      <x:c r="G556" s="9" t="str">
        <x:v>bm1688,cv186x,x86</x:v>
      </x:c>
      <x:c r="H556" s="9" t="str">
        <x:v>1</x:v>
      </x:c>
      <x:c r="I556" s="9" t="str">
        <x:v>min=; max=; regex=</x:v>
      </x:c>
      <x:c r="J556" s="9" t="str"/>
      <x:c r="K556" s="9" t="str">
        <x:v>当前实现要求为 1</x:v>
      </x:c>
      <x:c r="L556" s="9" t="str">
        <x:v>默认/合法替代/空/非法类型；按已确认范围测min、max及相邻越界；保存回读并验证行为</x:v>
      </x:c>
      <x:c r="M556" s="9" t="str">
        <x:v>FLOW-009</x:v>
      </x:c>
      <x:c r="N556" s="9" t="str">
        <x:v>未执行</x:v>
      </x:c>
      <x:c r="O556" s="12" t="str"/>
    </x:row>
    <x:row r="557" ht="32" customHeight="1">
      <x:c r="A557" s="4" t="str">
        <x:v>PAR-0553</x:v>
      </x:c>
      <x:c r="B557" s="4" t="str">
        <x:v>组件</x:v>
      </x:c>
      <x:c r="C557" s="4" t="str">
        <x:v>modelComponents:PT0006</x:v>
      </x:c>
      <x:c r="D557" s="4" t="str">
        <x:v>split组件</x:v>
      </x:c>
      <x:c r="E557" s="4" t="str">
        <x:v>split</x:v>
      </x:c>
      <x:c r="F557" s="4" t="str">
        <x:v>分割配置</x:v>
      </x:c>
      <x:c r="G557" s="4" t="str">
        <x:v>bm1688,cv186x,x86</x:v>
      </x:c>
      <x:c r="H557" s="4" t="str">
        <x:v>[32, 16, 16]</x:v>
      </x:c>
      <x:c r="I557" s="4" t="str">
        <x:v>min=; max=; regex=</x:v>
      </x:c>
      <x:c r="J557" s="4" t="str"/>
      <x:c r="K557" s="4" t="str">
        <x:v>各段宽度之和需等于该维度长度</x:v>
      </x:c>
      <x:c r="L557" s="4" t="str">
        <x:v>默认/合法替代/空/非法类型；按已确认范围测min、max及相邻越界；保存回读并验证行为</x:v>
      </x:c>
      <x:c r="M557" s="4" t="str">
        <x:v>FLOW-009</x:v>
      </x:c>
      <x:c r="N557" s="4" t="str">
        <x:v>未执行</x:v>
      </x:c>
      <x:c r="O557" s="12" t="str"/>
    </x:row>
    <x:row r="558" ht="40" customHeight="1">
      <x:c r="A558" s="9" t="str">
        <x:v>PAR-0554</x:v>
      </x:c>
      <x:c r="B558" s="9" t="str">
        <x:v>组件</x:v>
      </x:c>
      <x:c r="C558" s="9" t="str">
        <x:v>modelComponents:PT0007</x:v>
      </x:c>
      <x:c r="D558" s="9" t="str">
        <x:v>split_arg_max组件</x:v>
      </x:c>
      <x:c r="E558" s="9" t="str">
        <x:v>op</x:v>
      </x:c>
      <x:c r="F558" s="9" t="str">
        <x:v>后处理操作类型</x:v>
      </x:c>
      <x:c r="G558" s="9" t="str">
        <x:v>bm1688,cv186x,x86</x:v>
      </x:c>
      <x:c r="H558" s="9" t="str">
        <x:v>split_arg_max</x:v>
      </x:c>
      <x:c r="I558" s="9" t="str">
        <x:v>枚举：yolo_postprocess,yolo_npu_postprocess,yolov8_postprocess,yolo_e2e_postprocess,sum,arg_max,split,split_arg_max,dino_decode</x:v>
      </x:c>
      <x:c r="J558" s="9" t="str"/>
      <x:c r="K558" s="9" t="str">
        <x:v>后处理操作类型</x:v>
      </x:c>
      <x:c r="L558" s="9" t="str">
        <x:v>依次选每个枚举；非法值；保存刷新；触发依赖字段</x:v>
      </x:c>
      <x:c r="M558" s="9" t="str">
        <x:v>FLOW-009</x:v>
      </x:c>
      <x:c r="N558" s="9" t="str">
        <x:v>未执行</x:v>
      </x:c>
      <x:c r="O558" s="12" t="str"/>
    </x:row>
    <x:row r="559" ht="32" customHeight="1">
      <x:c r="A559" s="4" t="str">
        <x:v>PAR-0555</x:v>
      </x:c>
      <x:c r="B559" s="4" t="str">
        <x:v>组件</x:v>
      </x:c>
      <x:c r="C559" s="4" t="str">
        <x:v>modelComponents:PT0007</x:v>
      </x:c>
      <x:c r="D559" s="4" t="str">
        <x:v>split_arg_max组件</x:v>
      </x:c>
      <x:c r="E559" s="4" t="str">
        <x:v>split</x:v>
      </x:c>
      <x:c r="F559" s="4" t="str">
        <x:v>分割配置</x:v>
      </x:c>
      <x:c r="G559" s="4" t="str">
        <x:v>bm1688,cv186x,x86</x:v>
      </x:c>
      <x:c r="H559" s="4" t="str">
        <x:v>[128, 256, 64]</x:v>
      </x:c>
      <x:c r="I559" s="4" t="str">
        <x:v>min=; max=; regex=</x:v>
      </x:c>
      <x:c r="J559" s="4" t="str"/>
      <x:c r="K559" s="4" t="str">
        <x:v>分割配置数组</x:v>
      </x:c>
      <x:c r="L559" s="4" t="str">
        <x:v>默认/合法替代/空/非法类型；按已确认范围测min、max及相邻越界；保存回读并验证行为</x:v>
      </x:c>
      <x:c r="M559" s="4" t="str">
        <x:v>FLOW-009</x:v>
      </x:c>
      <x:c r="N559" s="4" t="str">
        <x:v>未执行</x:v>
      </x:c>
      <x:c r="O559" s="12" t="str"/>
    </x:row>
    <x:row r="560" ht="40" customHeight="1">
      <x:c r="A560" s="9" t="str">
        <x:v>PAR-0556</x:v>
      </x:c>
      <x:c r="B560" s="9" t="str">
        <x:v>组件</x:v>
      </x:c>
      <x:c r="C560" s="9" t="str">
        <x:v>modelComponents:PT0008</x:v>
      </x:c>
      <x:c r="D560" s="9" t="str">
        <x:v>dino_decode组件</x:v>
      </x:c>
      <x:c r="E560" s="9" t="str">
        <x:v>op</x:v>
      </x:c>
      <x:c r="F560" s="9" t="str">
        <x:v>后处理操作类型</x:v>
      </x:c>
      <x:c r="G560" s="9" t="str">
        <x:v>bm1688,cv186x,x86</x:v>
      </x:c>
      <x:c r="H560" s="9" t="str">
        <x:v>dino_decode</x:v>
      </x:c>
      <x:c r="I560" s="9" t="str">
        <x:v>枚举：yolo_postprocess,yolo_npu_postprocess,yolov8_postprocess,yolo_e2e_postprocess,sum,arg_max,split,split_arg_max,dino_decode</x:v>
      </x:c>
      <x:c r="J560" s="9" t="str"/>
      <x:c r="K560" s="9" t="str">
        <x:v>后处理操作类型</x:v>
      </x:c>
      <x:c r="L560" s="9" t="str">
        <x:v>依次选每个枚举；非法值；保存刷新；触发依赖字段</x:v>
      </x:c>
      <x:c r="M560" s="9" t="str">
        <x:v>FLOW-009</x:v>
      </x:c>
      <x:c r="N560" s="9" t="str">
        <x:v>未执行</x:v>
      </x:c>
      <x:c r="O560" s="12" t="str"/>
    </x:row>
    <x:row r="561" ht="32" customHeight="1">
      <x:c r="A561" s="4" t="str">
        <x:v>PAR-0557</x:v>
      </x:c>
      <x:c r="B561" s="4" t="str">
        <x:v>组件</x:v>
      </x:c>
      <x:c r="C561" s="4" t="str">
        <x:v>modelComponents:PT0008</x:v>
      </x:c>
      <x:c r="D561" s="4" t="str">
        <x:v>dino_decode组件</x:v>
      </x:c>
      <x:c r="E561" s="4" t="str">
        <x:v>text_threshold</x:v>
      </x:c>
      <x:c r="F561" s="4" t="str">
        <x:v>文本阈值</x:v>
      </x:c>
      <x:c r="G561" s="4" t="str">
        <x:v>bm1688,cv186x</x:v>
      </x:c>
      <x:c r="H561" s="4" t="str">
        <x:v>0.3</x:v>
      </x:c>
      <x:c r="I561" s="4" t="str">
        <x:v>min=; max=; regex=</x:v>
      </x:c>
      <x:c r="J561" s="4" t="str"/>
      <x:c r="K561" s="4" t="str">
        <x:v>文本阈值</x:v>
      </x:c>
      <x:c r="L561" s="4" t="str">
        <x:v>默认/合法替代/空/非法类型；按已确认范围测min、max及相邻越界；保存回读并验证行为</x:v>
      </x:c>
      <x:c r="M561" s="4" t="str">
        <x:v>FLOW-009</x:v>
      </x:c>
      <x:c r="N561" s="4" t="str">
        <x:v>未执行</x:v>
      </x:c>
      <x:c r="O561" s="12" t="str"/>
    </x:row>
    <x:row r="562" ht="32" customHeight="1">
      <x:c r="A562" s="9" t="str">
        <x:v>PAR-0558</x:v>
      </x:c>
      <x:c r="B562" s="9" t="str">
        <x:v>组件</x:v>
      </x:c>
      <x:c r="C562" s="9" t="str">
        <x:v>modelComponents:PT0008</x:v>
      </x:c>
      <x:c r="D562" s="9" t="str">
        <x:v>dino_decode组件</x:v>
      </x:c>
      <x:c r="E562" s="9" t="str">
        <x:v>box_threshold</x:v>
      </x:c>
      <x:c r="F562" s="9" t="str">
        <x:v>框阈值</x:v>
      </x:c>
      <x:c r="G562" s="9" t="str">
        <x:v>bm1688,cv186x</x:v>
      </x:c>
      <x:c r="H562" s="9" t="str">
        <x:v>0.25</x:v>
      </x:c>
      <x:c r="I562" s="9" t="str">
        <x:v>min=; max=; regex=</x:v>
      </x:c>
      <x:c r="J562" s="9" t="str"/>
      <x:c r="K562" s="9" t="str">
        <x:v>框阈值</x:v>
      </x:c>
      <x:c r="L562" s="9" t="str">
        <x:v>默认/合法替代/空/非法类型；按已确认范围测min、max及相邻越界；保存回读并验证行为</x:v>
      </x:c>
      <x:c r="M562" s="9" t="str">
        <x:v>FLOW-009</x:v>
      </x:c>
      <x:c r="N562" s="9" t="str">
        <x:v>未执行</x:v>
      </x:c>
      <x:c r="O562" s="12" t="str"/>
    </x:row>
    <x:row r="563" ht="32" customHeight="1">
      <x:c r="A563" s="4" t="str">
        <x:v>PAR-0559</x:v>
      </x:c>
      <x:c r="B563" s="4" t="str">
        <x:v>组件</x:v>
      </x:c>
      <x:c r="C563" s="4" t="str">
        <x:v>modelComponents:ON0001</x:v>
      </x:c>
      <x:c r="D563" s="4" t="str">
        <x:v>输出节点组件</x:v>
      </x:c>
      <x:c r="E563" s="4" t="str">
        <x:v>output_node</x:v>
      </x:c>
      <x:c r="F563" s="4" t="str">
        <x:v>输出节点名称</x:v>
      </x:c>
      <x:c r="G563" s="4" t="str">
        <x:v>bm1688,cv186x,x86</x:v>
      </x:c>
      <x:c r="H563" s="4" t="str">
        <x:v>output</x:v>
      </x:c>
      <x:c r="I563" s="4" t="str">
        <x:v>min=; max=; regex=</x:v>
      </x:c>
      <x:c r="J563" s="4" t="str"/>
      <x:c r="K563" s="4" t="str">
        <x:v>模型输出节点名称</x:v>
      </x:c>
      <x:c r="L563" s="4" t="str">
        <x:v>默认/合法替代/空/非法类型；按已确认范围测min、max及相邻越界；保存回读并验证行为</x:v>
      </x:c>
      <x:c r="M563" s="4" t="str">
        <x:v>FLOW-009</x:v>
      </x:c>
      <x:c r="N563" s="4" t="str">
        <x:v>未执行</x:v>
      </x:c>
      <x:c r="O563" s="12" t="str"/>
    </x:row>
    <x:row r="564" ht="32" customHeight="1">
      <x:c r="A564" s="9" t="str">
        <x:v>PAR-0560</x:v>
      </x:c>
      <x:c r="B564" s="9" t="str">
        <x:v>组件</x:v>
      </x:c>
      <x:c r="C564" s="9" t="str">
        <x:v>modelComponents:ON0001</x:v>
      </x:c>
      <x:c r="D564" s="9" t="str">
        <x:v>输出节点组件</x:v>
      </x:c>
      <x:c r="E564" s="9" t="str">
        <x:v>shape</x:v>
      </x:c>
      <x:c r="F564" s="9" t="str">
        <x:v>输出形状</x:v>
      </x:c>
      <x:c r="G564" s="9" t="str">
        <x:v>bm1688,cv186x,x86</x:v>
      </x:c>
      <x:c r="H564" s="9" t="str">
        <x:v>[-1, 2]</x:v>
      </x:c>
      <x:c r="I564" s="9" t="str">
        <x:v>min=; max=; regex=</x:v>
      </x:c>
      <x:c r="J564" s="9" t="str"/>
      <x:c r="K564" s="9" t="str">
        <x:v>输出张量形状</x:v>
      </x:c>
      <x:c r="L564" s="9" t="str">
        <x:v>默认/合法替代/空/非法类型；按已确认范围测min、max及相邻越界；保存回读并验证行为</x:v>
      </x:c>
      <x:c r="M564" s="9" t="str">
        <x:v>FLOW-009</x:v>
      </x:c>
      <x:c r="N564" s="9" t="str">
        <x:v>未执行</x:v>
      </x:c>
      <x:c r="O564" s="12" t="str"/>
    </x:row>
    <x:row r="565" ht="32" customHeight="1">
      <x:c r="A565" s="4" t="str">
        <x:v>PAR-0561</x:v>
      </x:c>
      <x:c r="B565" s="4" t="str">
        <x:v>组件</x:v>
      </x:c>
      <x:c r="C565" s="4" t="str">
        <x:v>modelComponents:ON0001</x:v>
      </x:c>
      <x:c r="D565" s="4" t="str">
        <x:v>输出节点组件</x:v>
      </x:c>
      <x:c r="E565" s="4" t="str">
        <x:v>data_type</x:v>
      </x:c>
      <x:c r="F565" s="4" t="str">
        <x:v>数据类型</x:v>
      </x:c>
      <x:c r="G565" s="4" t="str">
        <x:v>bm1688,cv186x,x86</x:v>
      </x:c>
      <x:c r="H565" s="4" t="str">
        <x:v>0</x:v>
      </x:c>
      <x:c r="I565" s="4" t="str">
        <x:v>枚举：0,1,2,3,4,5</x:v>
      </x:c>
      <x:c r="J565" s="4" t="str"/>
      <x:c r="K565" s="4" t="str">
        <x:v>数据类型选择</x:v>
      </x:c>
      <x:c r="L565" s="4" t="str">
        <x:v>依次选每个枚举；非法值；保存刷新；触发依赖字段</x:v>
      </x:c>
      <x:c r="M565" s="4" t="str">
        <x:v>FLOW-009</x:v>
      </x:c>
      <x:c r="N565" s="4" t="str">
        <x:v>未执行</x:v>
      </x:c>
      <x:c r="O565" s="12" t="str"/>
    </x:row>
    <x:row r="566" ht="32" customHeight="1">
      <x:c r="A566" s="9" t="str">
        <x:v>PAR-0562</x:v>
      </x:c>
      <x:c r="B566" s="9" t="str">
        <x:v>组件</x:v>
      </x:c>
      <x:c r="C566" s="9" t="str">
        <x:v>modelComponents:LB0001</x:v>
      </x:c>
      <x:c r="D566" s="9" t="str">
        <x:v>配置组件</x:v>
      </x:c>
      <x:c r="E566" s="9" t="str">
        <x:v>output_node</x:v>
      </x:c>
      <x:c r="F566" s="9" t="str">
        <x:v>输出节点名称</x:v>
      </x:c>
      <x:c r="G566" s="9" t="str">
        <x:v>bm1688,cv186x,x86</x:v>
      </x:c>
      <x:c r="H566" s="9" t="str">
        <x:v>output</x:v>
      </x:c>
      <x:c r="I566" s="9" t="str">
        <x:v>min=; max=; regex=</x:v>
      </x:c>
      <x:c r="J566" s="9" t="str"/>
      <x:c r="K566" s="9" t="str">
        <x:v>配置对应的输出节点名称</x:v>
      </x:c>
      <x:c r="L566" s="9" t="str">
        <x:v>默认/合法替代/空/非法类型；按已确认范围测min、max及相邻越界；保存回读并验证行为</x:v>
      </x:c>
      <x:c r="M566" s="9" t="str">
        <x:v>FLOW-009</x:v>
      </x:c>
      <x:c r="N566" s="9" t="str">
        <x:v>未执行</x:v>
      </x:c>
      <x:c r="O566" s="12" t="str"/>
    </x:row>
    <x:row r="567" ht="32" customHeight="1">
      <x:c r="A567" s="4" t="str">
        <x:v>PAR-0563</x:v>
      </x:c>
      <x:c r="B567" s="4" t="str">
        <x:v>组件</x:v>
      </x:c>
      <x:c r="C567" s="4" t="str">
        <x:v>modelComponents:LB0001</x:v>
      </x:c>
      <x:c r="D567" s="4" t="str">
        <x:v>配置组件</x:v>
      </x:c>
      <x:c r="E567" s="4" t="str">
        <x:v>shape</x:v>
      </x:c>
      <x:c r="F567" s="4" t="str">
        <x:v>输出形状</x:v>
      </x:c>
      <x:c r="G567" s="4" t="str">
        <x:v>bm1688,cv186x,x86</x:v>
      </x:c>
      <x:c r="H567" s="4" t="str">
        <x:v>[-1, -1, 6]</x:v>
      </x:c>
      <x:c r="I567" s="4" t="str">
        <x:v>min=; max=; regex=</x:v>
      </x:c>
      <x:c r="J567" s="4" t="str"/>
      <x:c r="K567" s="4" t="str">
        <x:v>输出张量形状</x:v>
      </x:c>
      <x:c r="L567" s="4" t="str">
        <x:v>默认/合法替代/空/非法类型；按已确认范围测min、max及相邻越界；保存回读并验证行为</x:v>
      </x:c>
      <x:c r="M567" s="4" t="str">
        <x:v>FLOW-009</x:v>
      </x:c>
      <x:c r="N567" s="4" t="str">
        <x:v>未执行</x:v>
      </x:c>
      <x:c r="O567" s="12" t="str"/>
    </x:row>
    <x:row r="568" ht="32" customHeight="1">
      <x:c r="A568" s="9" t="str">
        <x:v>PAR-0564</x:v>
      </x:c>
      <x:c r="B568" s="9" t="str">
        <x:v>组件</x:v>
      </x:c>
      <x:c r="C568" s="9" t="str">
        <x:v>modelComponents:LB0001</x:v>
      </x:c>
      <x:c r="D568" s="9" t="str">
        <x:v>配置组件</x:v>
      </x:c>
      <x:c r="E568" s="9" t="str">
        <x:v>output_info</x:v>
      </x:c>
      <x:c r="F568" s="9" t="str">
        <x:v>输出信息</x:v>
      </x:c>
      <x:c r="G568" s="9" t="str">
        <x:v>bm1688,cv186x,x86</x:v>
      </x:c>
      <x:c r="H568" s="9" t="str"/>
      <x:c r="I568" s="9" t="str">
        <x:v>min=; max=; regex=</x:v>
      </x:c>
      <x:c r="J568" s="9" t="str"/>
      <x:c r="K568" s="9" t="str">
        <x:v>输出标签信息配置（JSON格式）</x:v>
      </x:c>
      <x:c r="L568" s="9" t="str">
        <x:v>默认/合法替代/空/非法类型；按已确认范围测min、max及相邻越界；保存回读并验证行为</x:v>
      </x:c>
      <x:c r="M568" s="9" t="str">
        <x:v>FLOW-009</x:v>
      </x:c>
      <x:c r="N568" s="9" t="str">
        <x:v>未执行</x:v>
      </x:c>
      <x:c r="O568" s="12" t="str"/>
    </x:row>
    <x:row r="569" ht="32" customHeight="1">
      <x:c r="A569" s="4" t="str">
        <x:v>PAR-0565</x:v>
      </x:c>
      <x:c r="B569" s="4" t="str">
        <x:v>组件</x:v>
      </x:c>
      <x:c r="C569" s="4" t="str">
        <x:v>modelComponents:LB0001</x:v>
      </x:c>
      <x:c r="D569" s="4" t="str">
        <x:v>配置组件</x:v>
      </x:c>
      <x:c r="E569" s="4" t="str">
        <x:v>categories</x:v>
      </x:c>
      <x:c r="F569" s="4" t="str">
        <x:v>类别信息</x:v>
      </x:c>
      <x:c r="G569" s="4" t="str">
        <x:v>bm1688,cv186x,x86</x:v>
      </x:c>
      <x:c r="H569" s="4" t="str"/>
      <x:c r="I569" s="4" t="str">
        <x:v>min=; max=; regex=</x:v>
      </x:c>
      <x:c r="J569" s="4" t="str"/>
      <x:c r="K569" s="4" t="str">
        <x:v>类别信息配置（JSON格式）</x:v>
      </x:c>
      <x:c r="L569" s="4" t="str">
        <x:v>默认/合法替代/空/非法类型；按已确认范围测min、max及相邻越界；保存回读并验证行为</x:v>
      </x:c>
      <x:c r="M569" s="4" t="str">
        <x:v>FLOW-009</x:v>
      </x:c>
      <x:c r="N569" s="4" t="str">
        <x:v>未执行</x:v>
      </x:c>
      <x:c r="O569" s="12" t="str"/>
    </x:row>
    <x:row r="570" ht="40" customHeight="1">
      <x:c r="A570" s="9" t="str">
        <x:v>PAR-0566</x:v>
      </x:c>
      <x:c r="B570" s="9" t="str">
        <x:v>组件</x:v>
      </x:c>
      <x:c r="C570" s="9" t="str">
        <x:v>linkageStorages:LA_AlarmData_Code</x:v>
      </x:c>
      <x:c r="D570" s="9" t="str">
        <x:v>算法告警数据</x:v>
      </x:c>
      <x:c r="E570" s="9" t="str">
        <x:v>algs</x:v>
      </x:c>
      <x:c r="F570" s="9" t="str"/>
      <x:c r="G570" s="9" t="str">
        <x:v>bm1688,cv186x,x86</x:v>
      </x:c>
      <x:c r="H570" s="9" t="str"/>
      <x:c r="I570" s="9" t="str">
        <x:v>min=; max=; regex=</x:v>
      </x:c>
      <x:c r="J570" s="9" t="str"/>
      <x:c r="K570" s="9" t="str"/>
      <x:c r="L570" s="9" t="str">
        <x:v>默认/合法替代/空/非法类型；按已确认范围测min、max及相邻越界；保存回读并验证行为</x:v>
      </x:c>
      <x:c r="M570" s="9" t="str">
        <x:v>FLOW-009</x:v>
      </x:c>
      <x:c r="N570" s="9" t="str">
        <x:v>未执行</x:v>
      </x:c>
      <x:c r="O570" s="12" t="str"/>
    </x:row>
    <x:row r="571" ht="40" customHeight="1">
      <x:c r="A571" s="4" t="str">
        <x:v>PAR-0567</x:v>
      </x:c>
      <x:c r="B571" s="4" t="str">
        <x:v>组件</x:v>
      </x:c>
      <x:c r="C571" s="4" t="str">
        <x:v>linkageStorages:LA_AudioDevice_Code</x:v>
      </x:c>
      <x:c r="D571" s="4" t="str">
        <x:v>网络音柱联动</x:v>
      </x:c>
      <x:c r="E571" s="4" t="str">
        <x:v>audioDeviceId</x:v>
      </x:c>
      <x:c r="F571" s="4" t="str">
        <x:v>选择网络音柱</x:v>
      </x:c>
      <x:c r="G571" s="4" t="str">
        <x:v>bm1688,cv186x,x86</x:v>
      </x:c>
      <x:c r="H571" s="4" t="str"/>
      <x:c r="I571" s="4" t="str">
        <x:v>min=; max=; regex=</x:v>
      </x:c>
      <x:c r="J571" s="4" t="str"/>
      <x:c r="K571" s="4" t="str">
        <x:v>选择网络音柱</x:v>
      </x:c>
      <x:c r="L571" s="4" t="str">
        <x:v>默认/合法替代/空/非法类型；按已确认范围测min、max及相邻越界；保存回读并验证行为</x:v>
      </x:c>
      <x:c r="M571" s="4" t="str">
        <x:v>FLOW-009</x:v>
      </x:c>
      <x:c r="N571" s="4" t="str">
        <x:v>未执行</x:v>
      </x:c>
      <x:c r="O571" s="12" t="str"/>
    </x:row>
    <x:row r="572" ht="40" customHeight="1">
      <x:c r="A572" s="9" t="str">
        <x:v>PAR-0568</x:v>
      </x:c>
      <x:c r="B572" s="9" t="str">
        <x:v>组件</x:v>
      </x:c>
      <x:c r="C572" s="9" t="str">
        <x:v>linkageStorages:LA_AudioDevice_Code</x:v>
      </x:c>
      <x:c r="D572" s="9" t="str">
        <x:v>网络音柱联动</x:v>
      </x:c>
      <x:c r="E572" s="9" t="str">
        <x:v>operation</x:v>
      </x:c>
      <x:c r="F572" s="9" t="str">
        <x:v>播放方式</x:v>
      </x:c>
      <x:c r="G572" s="9" t="str">
        <x:v>bm1688,cv186x,x86</x:v>
      </x:c>
      <x:c r="H572" s="9" t="str">
        <x:v>1</x:v>
      </x:c>
      <x:c r="I572" s="9" t="str">
        <x:v>枚举：1,2</x:v>
      </x:c>
      <x:c r="J572" s="9" t="str"/>
      <x:c r="K572" s="9" t="str">
        <x:v>播放方式</x:v>
      </x:c>
      <x:c r="L572" s="9" t="str">
        <x:v>依次选每个枚举；非法值；保存刷新；触发依赖字段</x:v>
      </x:c>
      <x:c r="M572" s="9" t="str">
        <x:v>FLOW-009</x:v>
      </x:c>
      <x:c r="N572" s="9" t="str">
        <x:v>未执行</x:v>
      </x:c>
      <x:c r="O572" s="12" t="str"/>
    </x:row>
    <x:row r="573" ht="40" customHeight="1">
      <x:c r="A573" s="4" t="str">
        <x:v>PAR-0569</x:v>
      </x:c>
      <x:c r="B573" s="4" t="str">
        <x:v>组件</x:v>
      </x:c>
      <x:c r="C573" s="4" t="str">
        <x:v>linkageStorages:LA_AudioDevice_Code</x:v>
      </x:c>
      <x:c r="D573" s="4" t="str">
        <x:v>网络音柱联动</x:v>
      </x:c>
      <x:c r="E573" s="4" t="str">
        <x:v>data</x:v>
      </x:c>
      <x:c r="F573" s="4" t="str">
        <x:v>音频文件</x:v>
      </x:c>
      <x:c r="G573" s="4" t="str">
        <x:v>bm1688,cv186x,x86</x:v>
      </x:c>
      <x:c r="H573" s="4" t="str"/>
      <x:c r="I573" s="4" t="str">
        <x:v>min=; max=; regex=</x:v>
      </x:c>
      <x:c r="J573" s="4" t="str">
        <x:v>{"key":"operation","value":"1"}</x:v>
      </x:c>
      <x:c r="K573" s="4" t="str">
        <x:v>选择对应的告警音频文件。</x:v>
      </x:c>
      <x:c r="L573" s="4" t="str">
        <x:v>默认/合法替代/空/非法类型；按已确认范围测min、max及相邻越界；保存回读并验证行为</x:v>
      </x:c>
      <x:c r="M573" s="4" t="str">
        <x:v>FLOW-009</x:v>
      </x:c>
      <x:c r="N573" s="4" t="str">
        <x:v>未执行</x:v>
      </x:c>
      <x:c r="O573" s="12" t="str"/>
    </x:row>
    <x:row r="574" ht="40" customHeight="1">
      <x:c r="A574" s="9" t="str">
        <x:v>PAR-0570</x:v>
      </x:c>
      <x:c r="B574" s="9" t="str">
        <x:v>组件</x:v>
      </x:c>
      <x:c r="C574" s="9" t="str">
        <x:v>linkageStorages:LA_AudioDevice_Code</x:v>
      </x:c>
      <x:c r="D574" s="9" t="str">
        <x:v>网络音柱联动</x:v>
      </x:c>
      <x:c r="E574" s="9" t="str">
        <x:v>text</x:v>
      </x:c>
      <x:c r="F574" s="9" t="str">
        <x:v>播放文字</x:v>
      </x:c>
      <x:c r="G574" s="9" t="str">
        <x:v>bm1688,cv186x,x86</x:v>
      </x:c>
      <x:c r="H574" s="9" t="str"/>
      <x:c r="I574" s="9" t="str">
        <x:v>min=; max=; regex=</x:v>
      </x:c>
      <x:c r="J574" s="9" t="str">
        <x:v>{"key":"operation","value":"2"}</x:v>
      </x:c>
      <x:c r="K574" s="9" t="str">
        <x:v>播放文字：限制32字符。</x:v>
      </x:c>
      <x:c r="L574" s="9" t="str">
        <x:v>默认/合法替代/空/非法类型；按已确认范围测min、max及相邻越界；保存回读并验证行为</x:v>
      </x:c>
      <x:c r="M574" s="9" t="str">
        <x:v>FLOW-009</x:v>
      </x:c>
      <x:c r="N574" s="9" t="str">
        <x:v>未执行</x:v>
      </x:c>
      <x:c r="O574" s="12" t="str"/>
    </x:row>
    <x:row r="575" ht="40" customHeight="1">
      <x:c r="A575" s="4" t="str">
        <x:v>PAR-0571</x:v>
      </x:c>
      <x:c r="B575" s="4" t="str">
        <x:v>组件</x:v>
      </x:c>
      <x:c r="C575" s="4" t="str">
        <x:v>linkageStorages:LA_AudioDevice_Code</x:v>
      </x:c>
      <x:c r="D575" s="4" t="str">
        <x:v>网络音柱联动</x:v>
      </x:c>
      <x:c r="E575" s="4" t="str">
        <x:v>tone</x:v>
      </x:c>
      <x:c r="F575" s="4" t="str">
        <x:v>音色</x:v>
      </x:c>
      <x:c r="G575" s="4" t="str">
        <x:v>bm1688,cv186x,x86</x:v>
      </x:c>
      <x:c r="H575" s="4" t="str">
        <x:v>1</x:v>
      </x:c>
      <x:c r="I575" s="4" t="str">
        <x:v>枚举：1,2</x:v>
      </x:c>
      <x:c r="J575" s="4" t="str">
        <x:v>{"key":"operation","value":"2"}</x:v>
      </x:c>
      <x:c r="K575" s="4" t="str">
        <x:v>音色：可选择男声、女声，默认男声。</x:v>
      </x:c>
      <x:c r="L575" s="4" t="str">
        <x:v>依次选每个枚举；非法值；保存刷新；触发依赖字段</x:v>
      </x:c>
      <x:c r="M575" s="4" t="str">
        <x:v>FLOW-009</x:v>
      </x:c>
      <x:c r="N575" s="4" t="str">
        <x:v>未执行</x:v>
      </x:c>
      <x:c r="O575" s="12" t="str"/>
    </x:row>
    <x:row r="576" ht="40" customHeight="1">
      <x:c r="A576" s="9" t="str">
        <x:v>PAR-0572</x:v>
      </x:c>
      <x:c r="B576" s="9" t="str">
        <x:v>组件</x:v>
      </x:c>
      <x:c r="C576" s="9" t="str">
        <x:v>linkageStorages:LA_AudioDevice_Code</x:v>
      </x:c>
      <x:c r="D576" s="9" t="str">
        <x:v>网络音柱联动</x:v>
      </x:c>
      <x:c r="E576" s="9" t="str">
        <x:v>speed</x:v>
      </x:c>
      <x:c r="F576" s="9" t="str">
        <x:v>音速</x:v>
      </x:c>
      <x:c r="G576" s="9" t="str">
        <x:v>bm1688,cv186x,x86</x:v>
      </x:c>
      <x:c r="H576" s="9" t="str">
        <x:v>5</x:v>
      </x:c>
      <x:c r="I576" s="9" t="str">
        <x:v>min=; max=; regex=</x:v>
      </x:c>
      <x:c r="J576" s="9" t="str">
        <x:v>{"key":"operation","value":"2"}</x:v>
      </x:c>
      <x:c r="K576" s="9" t="str">
        <x:v>音速</x:v>
      </x:c>
      <x:c r="L576" s="9" t="str">
        <x:v>默认/合法替代/空/非法类型；按已确认范围测min、max及相邻越界；保存回读并验证行为</x:v>
      </x:c>
      <x:c r="M576" s="9" t="str">
        <x:v>FLOW-009</x:v>
      </x:c>
      <x:c r="N576" s="9" t="str">
        <x:v>未执行</x:v>
      </x:c>
      <x:c r="O576" s="12" t="str"/>
    </x:row>
    <x:row r="577" ht="40" customHeight="1">
      <x:c r="A577" s="4" t="str">
        <x:v>PAR-0573</x:v>
      </x:c>
      <x:c r="B577" s="4" t="str">
        <x:v>组件</x:v>
      </x:c>
      <x:c r="C577" s="4" t="str">
        <x:v>linkageStorages:LA_AudioDevice_Code</x:v>
      </x:c>
      <x:c r="D577" s="4" t="str">
        <x:v>网络音柱联动</x:v>
      </x:c>
      <x:c r="E577" s="4" t="str">
        <x:v>volume</x:v>
      </x:c>
      <x:c r="F577" s="4" t="str">
        <x:v>音量</x:v>
      </x:c>
      <x:c r="G577" s="4" t="str">
        <x:v>bm1688,cv186x,x86</x:v>
      </x:c>
      <x:c r="H577" s="4" t="str">
        <x:v>50</x:v>
      </x:c>
      <x:c r="I577" s="4" t="str">
        <x:v>min=; max=; regex=</x:v>
      </x:c>
      <x:c r="J577" s="4" t="str"/>
      <x:c r="K577" s="4" t="str">
        <x:v>音量</x:v>
      </x:c>
      <x:c r="L577" s="4" t="str">
        <x:v>默认/合法替代/空/非法类型；按已确认范围测min、max及相邻越界；保存回读并验证行为</x:v>
      </x:c>
      <x:c r="M577" s="4" t="str">
        <x:v>FLOW-009</x:v>
      </x:c>
      <x:c r="N577" s="4" t="str">
        <x:v>未执行</x:v>
      </x:c>
      <x:c r="O577" s="12" t="str"/>
    </x:row>
    <x:row r="578" ht="40" customHeight="1">
      <x:c r="A578" s="9" t="str">
        <x:v>PAR-0574</x:v>
      </x:c>
      <x:c r="B578" s="9" t="str">
        <x:v>组件</x:v>
      </x:c>
      <x:c r="C578" s="9" t="str">
        <x:v>linkageStorages:LA_AudioDevice_Code</x:v>
      </x:c>
      <x:c r="D578" s="9" t="str">
        <x:v>网络音柱联动</x:v>
      </x:c>
      <x:c r="E578" s="9" t="str">
        <x:v>duration</x:v>
      </x:c>
      <x:c r="F578" s="9" t="str">
        <x:v>播放时长(秒)</x:v>
      </x:c>
      <x:c r="G578" s="9" t="str">
        <x:v>bm1688,cv186x,x86</x:v>
      </x:c>
      <x:c r="H578" s="9" t="str">
        <x:v>60</x:v>
      </x:c>
      <x:c r="I578" s="9" t="str">
        <x:v>min=; max=; regex=</x:v>
      </x:c>
      <x:c r="J578" s="9" t="str"/>
      <x:c r="K578" s="9" t="str">
        <x:v>播放时长(秒)</x:v>
      </x:c>
      <x:c r="L578" s="9" t="str">
        <x:v>默认/合法替代/空/非法类型；按已确认范围测min、max及相邻越界；保存回读并验证行为</x:v>
      </x:c>
      <x:c r="M578" s="9" t="str">
        <x:v>FLOW-009</x:v>
      </x:c>
      <x:c r="N578" s="9" t="str">
        <x:v>未执行</x:v>
      </x:c>
      <x:c r="O578" s="12" t="str"/>
    </x:row>
    <x:row r="579" ht="40" customHeight="1">
      <x:c r="A579" s="4" t="str">
        <x:v>PAR-0575</x:v>
      </x:c>
      <x:c r="B579" s="4" t="str">
        <x:v>组件</x:v>
      </x:c>
      <x:c r="C579" s="4" t="str">
        <x:v>linkageStorages:LA_AudioDevice_Code</x:v>
      </x:c>
      <x:c r="D579" s="4" t="str">
        <x:v>网络音柱联动</x:v>
      </x:c>
      <x:c r="E579" s="4" t="str">
        <x:v>times</x:v>
      </x:c>
      <x:c r="F579" s="4" t="str">
        <x:v>播放次数</x:v>
      </x:c>
      <x:c r="G579" s="4" t="str">
        <x:v>bm1688,cv186x,x86</x:v>
      </x:c>
      <x:c r="H579" s="4" t="str">
        <x:v>1</x:v>
      </x:c>
      <x:c r="I579" s="4" t="str">
        <x:v>min=; max=; regex=</x:v>
      </x:c>
      <x:c r="J579" s="4" t="str"/>
      <x:c r="K579" s="4" t="str">
        <x:v>播放次数</x:v>
      </x:c>
      <x:c r="L579" s="4" t="str">
        <x:v>默认/合法替代/空/非法类型；按已确认范围测min、max及相邻越界；保存回读并验证行为</x:v>
      </x:c>
      <x:c r="M579" s="4" t="str">
        <x:v>FLOW-009</x:v>
      </x:c>
      <x:c r="N579" s="4" t="str">
        <x:v>未执行</x:v>
      </x:c>
      <x:c r="O579" s="12" t="str"/>
    </x:row>
    <x:row r="580" ht="40" customHeight="1">
      <x:c r="A580" s="9" t="str">
        <x:v>PAR-0576</x:v>
      </x:c>
      <x:c r="B580" s="9" t="str">
        <x:v>组件</x:v>
      </x:c>
      <x:c r="C580" s="9" t="str">
        <x:v>linkageStorages:LA_AudioDevice_Code</x:v>
      </x:c>
      <x:c r="D580" s="9" t="str">
        <x:v>网络音柱联动</x:v>
      </x:c>
      <x:c r="E580" s="9" t="str">
        <x:v>gap</x:v>
      </x:c>
      <x:c r="F580" s="9" t="str">
        <x:v>播放间隔（秒）</x:v>
      </x:c>
      <x:c r="G580" s="9" t="str">
        <x:v>bm1688,cv186x,x86</x:v>
      </x:c>
      <x:c r="H580" s="9" t="str">
        <x:v>1</x:v>
      </x:c>
      <x:c r="I580" s="9" t="str">
        <x:v>min=; max=; regex=</x:v>
      </x:c>
      <x:c r="J580" s="9" t="str"/>
      <x:c r="K580" s="9" t="str">
        <x:v>播放间隔（秒）</x:v>
      </x:c>
      <x:c r="L580" s="9" t="str">
        <x:v>默认/合法替代/空/非法类型；按已确认范围测min、max及相邻越界；保存回读并验证行为</x:v>
      </x:c>
      <x:c r="M580" s="9" t="str">
        <x:v>FLOW-009</x:v>
      </x:c>
      <x:c r="N580" s="9" t="str">
        <x:v>未执行</x:v>
      </x:c>
      <x:c r="O580" s="12" t="str"/>
    </x:row>
    <x:row r="581" ht="32" customHeight="1">
      <x:c r="A581" s="4" t="str">
        <x:v>PAR-0577</x:v>
      </x:c>
      <x:c r="B581" s="4" t="str">
        <x:v>组件</x:v>
      </x:c>
      <x:c r="C581" s="4" t="str">
        <x:v>modelComponents:PR0008</x:v>
      </x:c>
      <x:c r="D581" s="4" t="str">
        <x:v>dino_encode组件</x:v>
      </x:c>
      <x:c r="E581" s="4" t="str">
        <x:v>dst_width</x:v>
      </x:c>
      <x:c r="F581" s="4" t="str">
        <x:v>目标宽度</x:v>
      </x:c>
      <x:c r="G581" s="4" t="str">
        <x:v>x86</x:v>
      </x:c>
      <x:c r="H581" s="4" t="str">
        <x:v>800</x:v>
      </x:c>
      <x:c r="I581" s="4" t="str">
        <x:v>min=; max=; regex=</x:v>
      </x:c>
      <x:c r="J581" s="4" t="str"/>
      <x:c r="K581" s="4" t="str">
        <x:v>目标宽度</x:v>
      </x:c>
      <x:c r="L581" s="4" t="str">
        <x:v>默认/合法替代/空/非法类型；按已确认范围测min、max及相邻越界；保存回读并验证行为</x:v>
      </x:c>
      <x:c r="M581" s="4" t="str">
        <x:v>FLOW-009</x:v>
      </x:c>
      <x:c r="N581" s="4" t="str">
        <x:v>未执行</x:v>
      </x:c>
      <x:c r="O581" s="12" t="str"/>
    </x:row>
    <x:row r="582" ht="32" customHeight="1">
      <x:c r="A582" s="9" t="str">
        <x:v>PAR-0578</x:v>
      </x:c>
      <x:c r="B582" s="9" t="str">
        <x:v>组件</x:v>
      </x:c>
      <x:c r="C582" s="9" t="str">
        <x:v>modelComponents:PR0008</x:v>
      </x:c>
      <x:c r="D582" s="9" t="str">
        <x:v>dino_encode组件</x:v>
      </x:c>
      <x:c r="E582" s="9" t="str">
        <x:v>dst_height</x:v>
      </x:c>
      <x:c r="F582" s="9" t="str">
        <x:v>目标高度</x:v>
      </x:c>
      <x:c r="G582" s="9" t="str">
        <x:v>x86</x:v>
      </x:c>
      <x:c r="H582" s="9" t="str">
        <x:v>800</x:v>
      </x:c>
      <x:c r="I582" s="9" t="str">
        <x:v>min=; max=; regex=</x:v>
      </x:c>
      <x:c r="J582" s="9" t="str"/>
      <x:c r="K582" s="9" t="str">
        <x:v>目标高度</x:v>
      </x:c>
      <x:c r="L582" s="9" t="str">
        <x:v>默认/合法替代/空/非法类型；按已确认范围测min、max及相邻越界；保存回读并验证行为</x:v>
      </x:c>
      <x:c r="M582" s="9" t="str">
        <x:v>FLOW-009</x:v>
      </x:c>
      <x:c r="N582" s="9" t="str">
        <x:v>未执行</x:v>
      </x:c>
      <x:c r="O582" s="12" t="str"/>
    </x:row>
    <x:row r="583" ht="32" customHeight="1">
      <x:c r="A583" s="4" t="str">
        <x:v>PAR-0579</x:v>
      </x:c>
      <x:c r="B583" s="4" t="str">
        <x:v>组件</x:v>
      </x:c>
      <x:c r="C583" s="4" t="str">
        <x:v>modelComponents:PR0008</x:v>
      </x:c>
      <x:c r="D583" s="4" t="str">
        <x:v>dino_encode组件</x:v>
      </x:c>
      <x:c r="E583" s="4" t="str">
        <x:v>is_bgr</x:v>
      </x:c>
      <x:c r="F583" s="4" t="str">
        <x:v>BGR格式</x:v>
      </x:c>
      <x:c r="G583" s="4" t="str">
        <x:v>x86</x:v>
      </x:c>
      <x:c r="H583" s="4" t="str">
        <x:v>0</x:v>
      </x:c>
      <x:c r="I583" s="4" t="str">
        <x:v>min=; max=; regex=</x:v>
      </x:c>
      <x:c r="J583" s="4" t="str"/>
      <x:c r="K583" s="4" t="str">
        <x:v>是否为BGR格式</x:v>
      </x:c>
      <x:c r="L583" s="4" t="str">
        <x:v>默认/合法替代/空/非法类型；按已确认范围测min、max及相邻越界；保存回读并验证行为</x:v>
      </x:c>
      <x:c r="M583" s="4" t="str">
        <x:v>FLOW-009</x:v>
      </x:c>
      <x:c r="N583" s="4" t="str">
        <x:v>未执行</x:v>
      </x:c>
      <x:c r="O583" s="12" t="str"/>
    </x:row>
    <x:row r="584" ht="32" customHeight="1">
      <x:c r="A584" s="9" t="str">
        <x:v>PAR-0580</x:v>
      </x:c>
      <x:c r="B584" s="9" t="str">
        <x:v>组件</x:v>
      </x:c>
      <x:c r="C584" s="9" t="str">
        <x:v>modelComponents:PT0008</x:v>
      </x:c>
      <x:c r="D584" s="9" t="str">
        <x:v>dino_decode组件</x:v>
      </x:c>
      <x:c r="E584" s="9" t="str">
        <x:v>text_threshold</x:v>
      </x:c>
      <x:c r="F584" s="9" t="str">
        <x:v>文本阈值</x:v>
      </x:c>
      <x:c r="G584" s="9" t="str">
        <x:v>x86</x:v>
      </x:c>
      <x:c r="H584" s="9" t="str">
        <x:v>0.25</x:v>
      </x:c>
      <x:c r="I584" s="9" t="str">
        <x:v>min=; max=; regex=</x:v>
      </x:c>
      <x:c r="J584" s="9" t="str"/>
      <x:c r="K584" s="9" t="str">
        <x:v>文本阈值</x:v>
      </x:c>
      <x:c r="L584" s="9" t="str">
        <x:v>默认/合法替代/空/非法类型；按已确认范围测min、max及相邻越界；保存回读并验证行为</x:v>
      </x:c>
      <x:c r="M584" s="9" t="str">
        <x:v>FLOW-009</x:v>
      </x:c>
      <x:c r="N584" s="9" t="str">
        <x:v>未执行</x:v>
      </x:c>
      <x:c r="O584" s="12" t="str"/>
    </x:row>
    <x:row r="585" ht="32" customHeight="1">
      <x:c r="A585" s="4" t="str">
        <x:v>PAR-0581</x:v>
      </x:c>
      <x:c r="B585" s="4" t="str">
        <x:v>组件</x:v>
      </x:c>
      <x:c r="C585" s="4" t="str">
        <x:v>modelComponents:PT0008</x:v>
      </x:c>
      <x:c r="D585" s="4" t="str">
        <x:v>dino_decode组件</x:v>
      </x:c>
      <x:c r="E585" s="4" t="str">
        <x:v>box_threshold</x:v>
      </x:c>
      <x:c r="F585" s="4" t="str">
        <x:v>框阈值</x:v>
      </x:c>
      <x:c r="G585" s="4" t="str">
        <x:v>x86</x:v>
      </x:c>
      <x:c r="H585" s="4" t="str">
        <x:v>0.3</x:v>
      </x:c>
      <x:c r="I585" s="4" t="str">
        <x:v>min=; max=; regex=</x:v>
      </x:c>
      <x:c r="J585" s="4" t="str"/>
      <x:c r="K585" s="4" t="str">
        <x:v>框阈值</x:v>
      </x:c>
      <x:c r="L585" s="4" t="str">
        <x:v>默认/合法替代/空/非法类型；按已确认范围测min、max及相邻越界；保存回读并验证行为</x:v>
      </x:c>
      <x:c r="M585" s="4" t="str">
        <x:v>FLOW-009</x:v>
      </x:c>
      <x:c r="N585" s="4" t="str">
        <x:v>未执行</x:v>
      </x:c>
      <x:c r="O585" s="12" t="str"/>
    </x:row>
  </x:sheetData>
  <x:conditionalFormatting sqref="N5:N585">
    <x:cfRule type="containsText" dxfId="10" priority="1" operator="containsText" text="失败"/>
    <x:cfRule type="containsText" dxfId="11" priority="2" operator="containsText" text="阻塞"/>
  </x:conditionalFormatting>
  <x:dataValidations count="1">
    <x:dataValidation type="list" sqref="N5:N585">
      <x:formula1>"未执行,执行中,通过,失败,阻塞,不适用"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d15cb3065b436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2" hidden="0" customWidth="1"/>
    <x:col min="2" max="2" width="70" hidden="0" customWidth="1"/>
    <x:col min="3" max="3" width="16" hidden="0" customWidth="1"/>
    <x:col min="4" max="4" width="20" hidden="0" customWidth="1"/>
    <x:col min="5" max="5" width="110" hidden="0" customWidth="1"/>
    <x:col min="6" max="6" width="55" hidden="0" customWidth="1"/>
    <x:col min="7" max="7" width="65" hidden="0" customWidth="1"/>
    <x:col min="8" max="8" width="75" hidden="0" customWidth="1"/>
    <x:col min="9" max="9" width="15" hidden="0" customWidth="1"/>
    <x:col min="10" max="10" width="40" hidden="0" customWidth="1"/>
  </x:cols>
  <x:sheetData>
    <x:row r="2" ht="29" customHeight="1">
      <x:c r="A2" s="1" t="str">
        <x:v>全部注册API的补充验证</x:v>
      </x:c>
    </x:row>
    <x:row r="4" ht="34" customHeight="1">
      <x:c r="A4" s="8" t="str">
        <x:v>接口记录ID</x:v>
      </x:c>
      <x:c r="B4" s="8" t="str">
        <x:v>接口路径</x:v>
      </x:c>
      <x:c r="C4" s="8" t="str">
        <x:v>认证声明</x:v>
      </x:c>
      <x:c r="D4" s="8" t="str">
        <x:v>业务模块</x:v>
      </x:c>
      <x:c r="E4" s="8" t="str">
        <x:v>业务用例</x:v>
      </x:c>
      <x:c r="F4" s="8" t="str">
        <x:v>公共契约用例</x:v>
      </x:c>
      <x:c r="G4" s="8" t="str">
        <x:v>操作性质</x:v>
      </x:c>
      <x:c r="H4" s="8" t="str">
        <x:v>注册来源</x:v>
      </x:c>
      <x:c r="I4" s="8" t="str">
        <x:v>执行状态</x:v>
      </x:c>
      <x:c r="J4" s="8" t="str">
        <x:v>评审意见</x:v>
      </x:c>
    </x:row>
    <x:row r="5" ht="32" customHeight="1">
      <x:c r="A5" s="4" t="str">
        <x:v>APIREF-001</x:v>
      </x:c>
      <x:c r="B5" s="4" t="str">
        <x:v>/v1/cwai/aihost/InterfaceTest</x:v>
      </x:c>
      <x:c r="C5" s="4" t="str">
        <x:v>kAuth</x:v>
      </x:c>
      <x:c r="D5" s="4" t="str">
        <x:v>API</x:v>
      </x:c>
      <x:c r="E5" s="4" t="str">
        <x:v>API-001、API-002、API-003、API-004、API-005、API-006、API-007、API-008</x:v>
      </x:c>
      <x:c r="F5" s="4" t="str">
        <x:v>API-001；API-002（每路由独立请求夹具）</x:v>
      </x:c>
      <x:c r="G5" s="4" t="str">
        <x:v>含写操作/生命周期；按具体契约执行</x:v>
      </x:c>
      <x:c r="H5" s="4" t="str">
        <x:v>src/api/ApiRouter.cc:134</x:v>
      </x:c>
      <x:c r="I5" s="4" t="str">
        <x:v>未执行</x:v>
      </x:c>
      <x:c r="J5" s="12" t="str"/>
    </x:row>
    <x:row r="6" ht="32" customHeight="1">
      <x:c r="A6" s="9" t="str">
        <x:v>APIREF-002</x:v>
      </x:c>
      <x:c r="B6" s="9" t="str">
        <x:v>/v1/cwai/aihost/TaskCreate</x:v>
      </x:c>
      <x:c r="C6" s="9" t="str">
        <x:v>kAuth</x:v>
      </x:c>
      <x:c r="D6" s="9" t="str">
        <x:v>API</x:v>
      </x:c>
      <x:c r="E6" s="9" t="str">
        <x:v>API-001、API-002、API-003、API-004、API-005、API-006、API-007、API-008</x:v>
      </x:c>
      <x:c r="F6" s="9" t="str">
        <x:v>API-001；API-002（每路由独立请求夹具）</x:v>
      </x:c>
      <x:c r="G6" s="9" t="str">
        <x:v>含写操作/生命周期；按具体契约执行</x:v>
      </x:c>
      <x:c r="H6" s="9" t="str">
        <x:v>src/api/ApiRouter.cc:135</x:v>
      </x:c>
      <x:c r="I6" s="9" t="str">
        <x:v>未执行</x:v>
      </x:c>
      <x:c r="J6" s="12" t="str"/>
    </x:row>
    <x:row r="7" ht="32" customHeight="1">
      <x:c r="A7" s="4" t="str">
        <x:v>APIREF-003</x:v>
      </x:c>
      <x:c r="B7" s="4" t="str">
        <x:v>/v1/cwai/aihost/TaskCancle</x:v>
      </x:c>
      <x:c r="C7" s="4" t="str">
        <x:v>kAuth</x:v>
      </x:c>
      <x:c r="D7" s="4" t="str">
        <x:v>API</x:v>
      </x:c>
      <x:c r="E7" s="4" t="str">
        <x:v>API-001、API-002、API-003、API-004、API-005、API-006、API-007、API-008</x:v>
      </x:c>
      <x:c r="F7" s="4" t="str">
        <x:v>API-001；API-002（每路由独立请求夹具）</x:v>
      </x:c>
      <x:c r="G7" s="4" t="str">
        <x:v>含写操作/生命周期；按具体契约执行</x:v>
      </x:c>
      <x:c r="H7" s="4" t="str">
        <x:v>src/api/ApiRouter.cc:136</x:v>
      </x:c>
      <x:c r="I7" s="4" t="str">
        <x:v>未执行</x:v>
      </x:c>
      <x:c r="J7" s="12" t="str"/>
    </x:row>
    <x:row r="8" ht="32" customHeight="1">
      <x:c r="A8" s="9" t="str">
        <x:v>APIREF-004</x:v>
      </x:c>
      <x:c r="B8" s="9" t="str">
        <x:v>/v1/cwai/aihost/PTaskCreate</x:v>
      </x:c>
      <x:c r="C8" s="9" t="str">
        <x:v>kAuth</x:v>
      </x:c>
      <x:c r="D8" s="9" t="str">
        <x:v>API</x:v>
      </x:c>
      <x:c r="E8" s="9" t="str">
        <x:v>API-001、API-002、API-003、API-004、API-005、API-006、API-007、API-008</x:v>
      </x:c>
      <x:c r="F8" s="9" t="str">
        <x:v>API-001；API-002（每路由独立请求夹具）</x:v>
      </x:c>
      <x:c r="G8" s="9" t="str">
        <x:v>含写操作/生命周期；按具体契约执行</x:v>
      </x:c>
      <x:c r="H8" s="9" t="str">
        <x:v>src/api/ApiRouter.cc:137</x:v>
      </x:c>
      <x:c r="I8" s="9" t="str">
        <x:v>未执行</x:v>
      </x:c>
      <x:c r="J8" s="12" t="str"/>
    </x:row>
    <x:row r="9" ht="32" customHeight="1">
      <x:c r="A9" s="4" t="str">
        <x:v>APIREF-005</x:v>
      </x:c>
      <x:c r="B9" s="4" t="str">
        <x:v>/v1/cwai/aihost/PTaskCancle</x:v>
      </x:c>
      <x:c r="C9" s="4" t="str">
        <x:v>kAuth</x:v>
      </x:c>
      <x:c r="D9" s="4" t="str">
        <x:v>API</x:v>
      </x:c>
      <x:c r="E9" s="4" t="str">
        <x:v>API-001、API-002、API-003、API-004、API-005、API-006、API-007、API-008</x:v>
      </x:c>
      <x:c r="F9" s="4" t="str">
        <x:v>API-001；API-002（每路由独立请求夹具）</x:v>
      </x:c>
      <x:c r="G9" s="4" t="str">
        <x:v>含写操作/生命周期；按具体契约执行</x:v>
      </x:c>
      <x:c r="H9" s="4" t="str">
        <x:v>src/api/ApiRouter.cc:138</x:v>
      </x:c>
      <x:c r="I9" s="4" t="str">
        <x:v>未执行</x:v>
      </x:c>
      <x:c r="J9" s="12" t="str"/>
    </x:row>
    <x:row r="10" ht="32" customHeight="1">
      <x:c r="A10" s="9" t="str">
        <x:v>APIREF-006</x:v>
      </x:c>
      <x:c r="B10" s="9" t="str">
        <x:v>/v1/cwai/aihost/PTaskDetectPic</x:v>
      </x:c>
      <x:c r="C10" s="9" t="str">
        <x:v>kAuth</x:v>
      </x:c>
      <x:c r="D10" s="9" t="str">
        <x:v>API</x:v>
      </x:c>
      <x:c r="E10" s="9" t="str">
        <x:v>API-001、API-002、API-003、API-004、API-005、API-006、API-007、API-008</x:v>
      </x:c>
      <x:c r="F10" s="9" t="str">
        <x:v>API-001；API-002（每路由独立请求夹具）</x:v>
      </x:c>
      <x:c r="G10" s="9" t="str">
        <x:v>含写操作/生命周期；按具体契约执行</x:v>
      </x:c>
      <x:c r="H10" s="9" t="str">
        <x:v>src/api/ApiRouter.cc:139</x:v>
      </x:c>
      <x:c r="I10" s="9" t="str">
        <x:v>未执行</x:v>
      </x:c>
      <x:c r="J10" s="12" t="str"/>
    </x:row>
    <x:row r="11" ht="32" customHeight="1">
      <x:c r="A11" s="4" t="str">
        <x:v>APIREF-007</x:v>
      </x:c>
      <x:c r="B11" s="4" t="str">
        <x:v>/v1/cwai/aihost/OperateNode</x:v>
      </x:c>
      <x:c r="C11" s="4" t="str">
        <x:v>kAuth</x:v>
      </x:c>
      <x:c r="D11" s="4" t="str">
        <x:v>API</x:v>
      </x:c>
      <x:c r="E11" s="4" t="str">
        <x:v>API-001、API-002、API-003、API-004、API-005、API-006、API-007、API-008</x:v>
      </x:c>
      <x:c r="F11" s="4" t="str">
        <x:v>API-001；API-002（每路由独立请求夹具）</x:v>
      </x:c>
      <x:c r="G11" s="4" t="str">
        <x:v>含写操作/生命周期；按具体契约执行</x:v>
      </x:c>
      <x:c r="H11" s="4" t="str">
        <x:v>src/api/ApiRouter.cc:140</x:v>
      </x:c>
      <x:c r="I11" s="4" t="str">
        <x:v>未执行</x:v>
      </x:c>
      <x:c r="J11" s="12" t="str"/>
    </x:row>
    <x:row r="12" ht="32" customHeight="1">
      <x:c r="A12" s="9" t="str">
        <x:v>APIREF-008</x:v>
      </x:c>
      <x:c r="B12" s="9" t="str">
        <x:v>/v1/cwai/aihost/Info</x:v>
      </x:c>
      <x:c r="C12" s="9" t="str">
        <x:v>kAuth</x:v>
      </x:c>
      <x:c r="D12" s="9" t="str">
        <x:v>API</x:v>
      </x:c>
      <x:c r="E12" s="9" t="str">
        <x:v>API-001、API-002、API-003、API-004、API-005、API-006、API-007、API-008</x:v>
      </x:c>
      <x:c r="F12" s="9" t="str">
        <x:v>API-001；API-002（每路由独立请求夹具）</x:v>
      </x:c>
      <x:c r="G12" s="9" t="str">
        <x:v>只读</x:v>
      </x:c>
      <x:c r="H12" s="9" t="str">
        <x:v>src/api/ApiRouter.cc:141</x:v>
      </x:c>
      <x:c r="I12" s="9" t="str">
        <x:v>未执行</x:v>
      </x:c>
      <x:c r="J12" s="12" t="str"/>
    </x:row>
    <x:row r="13" ht="32" customHeight="1">
      <x:c r="A13" s="4" t="str">
        <x:v>APIREF-009</x:v>
      </x:c>
      <x:c r="B13" s="4" t="str">
        <x:v>/v1/cwai/aihost/Probe</x:v>
      </x:c>
      <x:c r="C13" s="4" t="str">
        <x:v>kNoAuth</x:v>
      </x:c>
      <x:c r="D13" s="4" t="str">
        <x:v>API</x:v>
      </x:c>
      <x:c r="E13" s="4" t="str">
        <x:v>API-001、API-002、API-003、API-004、API-005、API-006、API-007、API-008</x:v>
      </x:c>
      <x:c r="F13" s="4" t="str">
        <x:v>API-001；API-002（每路由独立请求夹具）</x:v>
      </x:c>
      <x:c r="G13" s="4" t="str">
        <x:v>只读</x:v>
      </x:c>
      <x:c r="H13" s="4" t="str">
        <x:v>src/api/ApiRouter.cc:142</x:v>
      </x:c>
      <x:c r="I13" s="4" t="str">
        <x:v>未执行</x:v>
      </x:c>
      <x:c r="J13" s="12" t="str"/>
    </x:row>
    <x:row r="14" ht="32" customHeight="1">
      <x:c r="A14" s="9" t="str">
        <x:v>APIREF-010</x:v>
      </x:c>
      <x:c r="B14" s="9" t="str">
        <x:v>/v1/cwai/aihost/ViewRoutes</x:v>
      </x:c>
      <x:c r="C14" s="9" t="str">
        <x:v>kAuth</x:v>
      </x:c>
      <x:c r="D14" s="9" t="str">
        <x:v>API</x:v>
      </x:c>
      <x:c r="E14" s="9" t="str">
        <x:v>API-001、API-002、API-003、API-004、API-005、API-006、API-007、API-008</x:v>
      </x:c>
      <x:c r="F14" s="9" t="str">
        <x:v>API-001；API-002（每路由独立请求夹具）</x:v>
      </x:c>
      <x:c r="G14" s="9" t="str">
        <x:v>只读</x:v>
      </x:c>
      <x:c r="H14" s="9" t="str">
        <x:v>src/api/ApiRouter.cc:143</x:v>
      </x:c>
      <x:c r="I14" s="9" t="str">
        <x:v>未执行</x:v>
      </x:c>
      <x:c r="J14" s="12" t="str"/>
    </x:row>
    <x:row r="15" ht="32" customHeight="1">
      <x:c r="A15" s="4" t="str">
        <x:v>APIREF-011</x:v>
      </x:c>
      <x:c r="B15" s="4" t="str">
        <x:v>/v1/cwai/aihost/GraphicsMemory</x:v>
      </x:c>
      <x:c r="C15" s="4" t="str">
        <x:v>kAuth</x:v>
      </x:c>
      <x:c r="D15" s="4" t="str">
        <x:v>API</x:v>
      </x:c>
      <x:c r="E15" s="4" t="str">
        <x:v>API-001、API-002、API-003、API-004、API-005、API-006、API-007、API-008</x:v>
      </x:c>
      <x:c r="F15" s="4" t="str">
        <x:v>API-001；API-002（每路由独立请求夹具）</x:v>
      </x:c>
      <x:c r="G15" s="4" t="str">
        <x:v>含写操作/生命周期；按具体契约执行</x:v>
      </x:c>
      <x:c r="H15" s="4" t="str">
        <x:v>src/api/ApiRouter.cc:144</x:v>
      </x:c>
      <x:c r="I15" s="4" t="str">
        <x:v>未执行</x:v>
      </x:c>
      <x:c r="J15" s="12" t="str"/>
    </x:row>
    <x:row r="16" ht="32" customHeight="1">
      <x:c r="A16" s="9" t="str">
        <x:v>APIREF-012</x:v>
      </x:c>
      <x:c r="B16" s="9" t="str">
        <x:v>/v1/cwai/aihost/OverviewStructrueRecord</x:v>
      </x:c>
      <x:c r="C16" s="9" t="str">
        <x:v>kAuth</x:v>
      </x:c>
      <x:c r="D16" s="9" t="str">
        <x:v>API</x:v>
      </x:c>
      <x:c r="E16" s="9" t="str">
        <x:v>API-001、API-002、API-003、API-004、API-005、API-006、API-007、API-008</x:v>
      </x:c>
      <x:c r="F16" s="9" t="str">
        <x:v>API-001；API-002（每路由独立请求夹具）</x:v>
      </x:c>
      <x:c r="G16" s="9" t="str">
        <x:v>只读</x:v>
      </x:c>
      <x:c r="H16" s="9" t="str">
        <x:v>src/api/ApiRouter.cc:145</x:v>
      </x:c>
      <x:c r="I16" s="9" t="str">
        <x:v>未执行</x:v>
      </x:c>
      <x:c r="J16" s="12" t="str"/>
    </x:row>
    <x:row r="17" ht="32" customHeight="1">
      <x:c r="A17" s="4" t="str">
        <x:v>APIREF-013</x:v>
      </x:c>
      <x:c r="B17" s="4" t="str">
        <x:v>/v1/cwai/aihost/LoadLocalAlgorithmAction</x:v>
      </x:c>
      <x:c r="C17" s="4" t="str">
        <x:v>kAuth</x:v>
      </x:c>
      <x:c r="D17" s="4" t="str">
        <x:v>API</x:v>
      </x:c>
      <x:c r="E17" s="4" t="str">
        <x:v>API-001、API-002、API-003、API-004、API-005、API-006、API-007、API-008</x:v>
      </x:c>
      <x:c r="F17" s="4" t="str">
        <x:v>API-001；API-002（每路由独立请求夹具）</x:v>
      </x:c>
      <x:c r="G17" s="4" t="str">
        <x:v>含写操作/生命周期；按具体契约执行</x:v>
      </x:c>
      <x:c r="H17" s="4" t="str">
        <x:v>src/api/ApiRouter.cc:146</x:v>
      </x:c>
      <x:c r="I17" s="4" t="str">
        <x:v>未执行</x:v>
      </x:c>
      <x:c r="J17" s="12" t="str"/>
    </x:row>
    <x:row r="18" ht="32" customHeight="1">
      <x:c r="A18" s="9" t="str">
        <x:v>APIREF-014</x:v>
      </x:c>
      <x:c r="B18" s="9" t="str">
        <x:v>/v1/cwai/aihost/LogicTest</x:v>
      </x:c>
      <x:c r="C18" s="9" t="str">
        <x:v>kAuth</x:v>
      </x:c>
      <x:c r="D18" s="9" t="str">
        <x:v>API</x:v>
      </x:c>
      <x:c r="E18" s="9" t="str">
        <x:v>API-001、API-002、API-003、API-004、API-005、API-006、API-007、API-008</x:v>
      </x:c>
      <x:c r="F18" s="9" t="str">
        <x:v>API-001；API-002（每路由独立请求夹具）</x:v>
      </x:c>
      <x:c r="G18" s="9" t="str">
        <x:v>含写操作/生命周期；按具体契约执行</x:v>
      </x:c>
      <x:c r="H18" s="9" t="str">
        <x:v>src/api/ApiRouter.cc:147</x:v>
      </x:c>
      <x:c r="I18" s="9" t="str">
        <x:v>未执行</x:v>
      </x:c>
      <x:c r="J18" s="12" t="str"/>
    </x:row>
    <x:row r="19" ht="32" customHeight="1">
      <x:c r="A19" s="4" t="str">
        <x:v>APIREF-015</x:v>
      </x:c>
      <x:c r="B19" s="4" t="str">
        <x:v>/v1/cwai/aihost/QueryTaskOverviewFile</x:v>
      </x:c>
      <x:c r="C19" s="4" t="str">
        <x:v>kAuth</x:v>
      </x:c>
      <x:c r="D19" s="4" t="str">
        <x:v>API</x:v>
      </x:c>
      <x:c r="E19" s="4" t="str">
        <x:v>API-001、API-002、API-003、API-004、API-005、API-006、API-007、API-008</x:v>
      </x:c>
      <x:c r="F19" s="4" t="str">
        <x:v>API-001；API-002（每路由独立请求夹具）</x:v>
      </x:c>
      <x:c r="G19" s="4" t="str">
        <x:v>只读</x:v>
      </x:c>
      <x:c r="H19" s="4" t="str">
        <x:v>src/api/ApiRouter.cc:148</x:v>
      </x:c>
      <x:c r="I19" s="4" t="str">
        <x:v>未执行</x:v>
      </x:c>
      <x:c r="J19" s="12" t="str"/>
    </x:row>
    <x:row r="20" ht="32" customHeight="1">
      <x:c r="A20" s="9" t="str">
        <x:v>APIREF-016</x:v>
      </x:c>
      <x:c r="B20" s="9" t="str">
        <x:v>/v1/cwai/aihost/QueryTaskStatus</x:v>
      </x:c>
      <x:c r="C20" s="9" t="str">
        <x:v>kAuth</x:v>
      </x:c>
      <x:c r="D20" s="9" t="str">
        <x:v>API</x:v>
      </x:c>
      <x:c r="E20" s="9" t="str">
        <x:v>API-001、API-002、API-003、API-004、API-005、API-006、API-007、API-008</x:v>
      </x:c>
      <x:c r="F20" s="9" t="str">
        <x:v>API-001；API-002（每路由独立请求夹具）</x:v>
      </x:c>
      <x:c r="G20" s="9" t="str">
        <x:v>只读</x:v>
      </x:c>
      <x:c r="H20" s="9" t="str">
        <x:v>src/api/ApiRouter.cc:149</x:v>
      </x:c>
      <x:c r="I20" s="9" t="str">
        <x:v>未执行</x:v>
      </x:c>
      <x:c r="J20" s="12" t="str"/>
    </x:row>
    <x:row r="21" ht="32" customHeight="1">
      <x:c r="A21" s="4" t="str">
        <x:v>APIREF-017</x:v>
      </x:c>
      <x:c r="B21" s="4" t="str">
        <x:v>/v1/cwai/aihost/QueryTaskInfo</x:v>
      </x:c>
      <x:c r="C21" s="4" t="str">
        <x:v>kAuth</x:v>
      </x:c>
      <x:c r="D21" s="4" t="str">
        <x:v>API</x:v>
      </x:c>
      <x:c r="E21" s="4" t="str">
        <x:v>API-001、API-002、API-003、API-004、API-005、API-006、API-007、API-008</x:v>
      </x:c>
      <x:c r="F21" s="4" t="str">
        <x:v>API-001；API-002（每路由独立请求夹具）</x:v>
      </x:c>
      <x:c r="G21" s="4" t="str">
        <x:v>只读</x:v>
      </x:c>
      <x:c r="H21" s="4" t="str">
        <x:v>src/api/ApiRouter.cc:150</x:v>
      </x:c>
      <x:c r="I21" s="4" t="str">
        <x:v>未执行</x:v>
      </x:c>
      <x:c r="J21" s="12" t="str"/>
    </x:row>
    <x:row r="22" ht="32" customHeight="1">
      <x:c r="A22" s="9" t="str">
        <x:v>APIREF-018</x:v>
      </x:c>
      <x:c r="B22" s="9" t="str">
        <x:v>/v1/cwai/aihost/QueryDeviceMemStatus</x:v>
      </x:c>
      <x:c r="C22" s="9" t="str">
        <x:v>kAuth</x:v>
      </x:c>
      <x:c r="D22" s="9" t="str">
        <x:v>API</x:v>
      </x:c>
      <x:c r="E22" s="9" t="str">
        <x:v>API-001、API-002、API-003、API-004、API-005、API-006、API-007、API-008</x:v>
      </x:c>
      <x:c r="F22" s="9" t="str">
        <x:v>API-001；API-002（每路由独立请求夹具）</x:v>
      </x:c>
      <x:c r="G22" s="9" t="str">
        <x:v>只读</x:v>
      </x:c>
      <x:c r="H22" s="9" t="str">
        <x:v>src/api/ApiRouter.cc:151</x:v>
      </x:c>
      <x:c r="I22" s="9" t="str">
        <x:v>未执行</x:v>
      </x:c>
      <x:c r="J22" s="12" t="str"/>
    </x:row>
    <x:row r="23" ht="32" customHeight="1">
      <x:c r="A23" s="4" t="str">
        <x:v>APIREF-019</x:v>
      </x:c>
      <x:c r="B23" s="4" t="str">
        <x:v>/v1/cwai/aihost/QueryLogs</x:v>
      </x:c>
      <x:c r="C23" s="4" t="str">
        <x:v>kAuth</x:v>
      </x:c>
      <x:c r="D23" s="4" t="str">
        <x:v>API</x:v>
      </x:c>
      <x:c r="E23" s="4" t="str">
        <x:v>API-001、API-002、API-003、API-004、API-005、API-006、API-007、API-008</x:v>
      </x:c>
      <x:c r="F23" s="4" t="str">
        <x:v>API-001；API-002（每路由独立请求夹具）</x:v>
      </x:c>
      <x:c r="G23" s="4" t="str">
        <x:v>只读</x:v>
      </x:c>
      <x:c r="H23" s="4" t="str">
        <x:v>src/api/ApiRouter.cc:152</x:v>
      </x:c>
      <x:c r="I23" s="4" t="str">
        <x:v>未执行</x:v>
      </x:c>
      <x:c r="J23" s="12" t="str"/>
    </x:row>
    <x:row r="24" ht="32" customHeight="1">
      <x:c r="A24" s="9" t="str">
        <x:v>APIREF-020</x:v>
      </x:c>
      <x:c r="B24" s="9" t="str">
        <x:v>/gtw/cwai/login/DoLogin</x:v>
      </x:c>
      <x:c r="C24" s="9" t="str">
        <x:v>kNoAuth</x:v>
      </x:c>
      <x:c r="D24" s="9" t="str">
        <x:v>AUTH</x:v>
      </x:c>
      <x:c r="E24" s="9" t="str">
        <x:v>AUTH-001、AUTH-002、AUTH-003、AUTH-004、AUTH-005、AUTH-006、AUTH-007、AUTH-008</x:v>
      </x:c>
      <x:c r="F24" s="9" t="str">
        <x:v>API-001；API-002（每路由独立请求夹具）</x:v>
      </x:c>
      <x:c r="G24" s="9" t="str">
        <x:v>含写操作/生命周期；按具体契约执行</x:v>
      </x:c>
      <x:c r="H24" s="9" t="str">
        <x:v>src/api/ApiRouter.cc:175</x:v>
      </x:c>
      <x:c r="I24" s="9" t="str">
        <x:v>未执行</x:v>
      </x:c>
      <x:c r="J24" s="12" t="str"/>
    </x:row>
    <x:row r="25" ht="32" customHeight="1">
      <x:c r="A25" s="4" t="str">
        <x:v>APIREF-021</x:v>
      </x:c>
      <x:c r="B25" s="4" t="str">
        <x:v>/gtw/cwai/network/QueryNetCard</x:v>
      </x:c>
      <x:c r="C25" s="4" t="str">
        <x:v>kAuth</x:v>
      </x:c>
      <x:c r="D25" s="4" t="str">
        <x:v>NET</x:v>
      </x:c>
      <x:c r="E25" s="4" t="str">
        <x:v>NET-001、NET-002、NET-003、NET-004、NET-005、NET-006</x:v>
      </x:c>
      <x:c r="F25" s="4" t="str">
        <x:v>API-001；API-002（每路由独立请求夹具）</x:v>
      </x:c>
      <x:c r="G25" s="4" t="str">
        <x:v>只读</x:v>
      </x:c>
      <x:c r="H25" s="4" t="str">
        <x:v>src/api/ApiRouter.cc:194</x:v>
      </x:c>
      <x:c r="I25" s="4" t="str">
        <x:v>未执行</x:v>
      </x:c>
      <x:c r="J25" s="12" t="str"/>
    </x:row>
    <x:row r="26" ht="32" customHeight="1">
      <x:c r="A26" s="9" t="str">
        <x:v>APIREF-022</x:v>
      </x:c>
      <x:c r="B26" s="9" t="str">
        <x:v>/gtw/cwai/network/ModifyNetCard</x:v>
      </x:c>
      <x:c r="C26" s="9" t="str">
        <x:v>kAuth</x:v>
      </x:c>
      <x:c r="D26" s="9" t="str">
        <x:v>NET</x:v>
      </x:c>
      <x:c r="E26" s="9" t="str">
        <x:v>NET-001、NET-002、NET-003、NET-004、NET-005、NET-006</x:v>
      </x:c>
      <x:c r="F26" s="9" t="str">
        <x:v>API-001；API-002（每路由独立请求夹具）</x:v>
      </x:c>
      <x:c r="G26" s="9" t="str">
        <x:v>含写操作/生命周期；按具体契约执行</x:v>
      </x:c>
      <x:c r="H26" s="9" t="str">
        <x:v>src/api/ApiRouter.cc:195</x:v>
      </x:c>
      <x:c r="I26" s="9" t="str">
        <x:v>未执行</x:v>
      </x:c>
      <x:c r="J26" s="12" t="str"/>
    </x:row>
    <x:row r="27" ht="32" customHeight="1">
      <x:c r="A27" s="4" t="str">
        <x:v>APIREF-023</x:v>
      </x:c>
      <x:c r="B27" s="4" t="str">
        <x:v>/gtw/cwai/network/QueryNetDns</x:v>
      </x:c>
      <x:c r="C27" s="4" t="str">
        <x:v>kAuth</x:v>
      </x:c>
      <x:c r="D27" s="4" t="str">
        <x:v>NET</x:v>
      </x:c>
      <x:c r="E27" s="4" t="str">
        <x:v>NET-001、NET-002、NET-003、NET-004、NET-005、NET-006</x:v>
      </x:c>
      <x:c r="F27" s="4" t="str">
        <x:v>API-001；API-002（每路由独立请求夹具）</x:v>
      </x:c>
      <x:c r="G27" s="4" t="str">
        <x:v>只读</x:v>
      </x:c>
      <x:c r="H27" s="4" t="str">
        <x:v>src/api/ApiRouter.cc:196</x:v>
      </x:c>
      <x:c r="I27" s="4" t="str">
        <x:v>未执行</x:v>
      </x:c>
      <x:c r="J27" s="12" t="str"/>
    </x:row>
    <x:row r="28" ht="32" customHeight="1">
      <x:c r="A28" s="9" t="str">
        <x:v>APIREF-024</x:v>
      </x:c>
      <x:c r="B28" s="9" t="str">
        <x:v>/gtw/cwai/network/ModifyNetDns</x:v>
      </x:c>
      <x:c r="C28" s="9" t="str">
        <x:v>kAuth</x:v>
      </x:c>
      <x:c r="D28" s="9" t="str">
        <x:v>NET</x:v>
      </x:c>
      <x:c r="E28" s="9" t="str">
        <x:v>NET-001、NET-002、NET-003、NET-004、NET-005、NET-006</x:v>
      </x:c>
      <x:c r="F28" s="9" t="str">
        <x:v>API-001；API-002（每路由独立请求夹具）</x:v>
      </x:c>
      <x:c r="G28" s="9" t="str">
        <x:v>含写操作/生命周期；按具体契约执行</x:v>
      </x:c>
      <x:c r="H28" s="9" t="str">
        <x:v>src/api/ApiRouter.cc:197</x:v>
      </x:c>
      <x:c r="I28" s="9" t="str">
        <x:v>未执行</x:v>
      </x:c>
      <x:c r="J28" s="12" t="str"/>
    </x:row>
    <x:row r="29" ht="32" customHeight="1">
      <x:c r="A29" s="4" t="str">
        <x:v>APIREF-025</x:v>
      </x:c>
      <x:c r="B29" s="4" t="str">
        <x:v>/gtw/cwai/network/NetworkQualityCheck</x:v>
      </x:c>
      <x:c r="C29" s="4" t="str">
        <x:v>kAuth</x:v>
      </x:c>
      <x:c r="D29" s="4" t="str">
        <x:v>NET</x:v>
      </x:c>
      <x:c r="E29" s="4" t="str">
        <x:v>NET-001、NET-002、NET-003、NET-004、NET-005、NET-006</x:v>
      </x:c>
      <x:c r="F29" s="4" t="str">
        <x:v>API-001；API-002（每路由独立请求夹具）</x:v>
      </x:c>
      <x:c r="G29" s="4" t="str">
        <x:v>含写操作/生命周期；按具体契约执行</x:v>
      </x:c>
      <x:c r="H29" s="4" t="str">
        <x:v>src/api/ApiRouter.cc:198</x:v>
      </x:c>
      <x:c r="I29" s="4" t="str">
        <x:v>未执行</x:v>
      </x:c>
      <x:c r="J29" s="12" t="str"/>
    </x:row>
    <x:row r="30" ht="32" customHeight="1">
      <x:c r="A30" s="9" t="str">
        <x:v>APIREF-026</x:v>
      </x:c>
      <x:c r="B30" s="9" t="str">
        <x:v>/gtw/cwai/network/IpAccessibleCheck</x:v>
      </x:c>
      <x:c r="C30" s="9" t="str">
        <x:v>kAuth</x:v>
      </x:c>
      <x:c r="D30" s="9" t="str">
        <x:v>NET</x:v>
      </x:c>
      <x:c r="E30" s="9" t="str">
        <x:v>NET-001、NET-002、NET-003、NET-004、NET-005、NET-006</x:v>
      </x:c>
      <x:c r="F30" s="9" t="str">
        <x:v>API-001；API-002（每路由独立请求夹具）</x:v>
      </x:c>
      <x:c r="G30" s="9" t="str">
        <x:v>含写操作/生命周期；按具体契约执行</x:v>
      </x:c>
      <x:c r="H30" s="9" t="str">
        <x:v>src/api/ApiRouter.cc:199</x:v>
      </x:c>
      <x:c r="I30" s="9" t="str">
        <x:v>未执行</x:v>
      </x:c>
      <x:c r="J30" s="12" t="str"/>
    </x:row>
    <x:row r="31" ht="32" customHeight="1">
      <x:c r="A31" s="4" t="str">
        <x:v>APIREF-027</x:v>
      </x:c>
      <x:c r="B31" s="4" t="str">
        <x:v>/gtw/cwai/Algorithm/Page</x:v>
      </x:c>
      <x:c r="C31" s="4" t="str">
        <x:v>kAuth</x:v>
      </x:c>
      <x:c r="D31" s="4" t="str">
        <x:v>SCENE</x:v>
      </x:c>
      <x:c r="E31" s="4" t="str">
        <x:v>SCENE-001、SCENE-002、SCENE-003、SCENE-004、SCENE-005、SCENE-006、SCENE-007、SCENE-008、SCENE-009</x:v>
      </x:c>
      <x:c r="F31" s="4" t="str">
        <x:v>API-001；API-002（每路由独立请求夹具）</x:v>
      </x:c>
      <x:c r="G31" s="4" t="str">
        <x:v>只读</x:v>
      </x:c>
      <x:c r="H31" s="4" t="str">
        <x:v>src/api/ApiRouter.cc:204</x:v>
      </x:c>
      <x:c r="I31" s="4" t="str">
        <x:v>未执行</x:v>
      </x:c>
      <x:c r="J31" s="12" t="str"/>
    </x:row>
    <x:row r="32" ht="32" customHeight="1">
      <x:c r="A32" s="9" t="str">
        <x:v>APIREF-028</x:v>
      </x:c>
      <x:c r="B32" s="9" t="str">
        <x:v>/gtw/cwai/Algorithm/Upload</x:v>
      </x:c>
      <x:c r="C32" s="9" t="str">
        <x:v>kAuth</x:v>
      </x:c>
      <x:c r="D32" s="9" t="str">
        <x:v>SCENE</x:v>
      </x:c>
      <x:c r="E32" s="9" t="str">
        <x:v>SCENE-001、SCENE-002、SCENE-003、SCENE-004、SCENE-005、SCENE-006、SCENE-007、SCENE-008、SCENE-009</x:v>
      </x:c>
      <x:c r="F32" s="9" t="str">
        <x:v>API-001；API-002（每路由独立请求夹具）</x:v>
      </x:c>
      <x:c r="G32" s="9" t="str">
        <x:v>含写操作/生命周期；按具体契约执行</x:v>
      </x:c>
      <x:c r="H32" s="9" t="str">
        <x:v>src/api/ApiRouter.cc:205</x:v>
      </x:c>
      <x:c r="I32" s="9" t="str">
        <x:v>未执行</x:v>
      </x:c>
      <x:c r="J32" s="12" t="str"/>
    </x:row>
    <x:row r="33" ht="32" customHeight="1">
      <x:c r="A33" s="4" t="str">
        <x:v>APIREF-029</x:v>
      </x:c>
      <x:c r="B33" s="4" t="str">
        <x:v>/gtw/cwai/Algorithm/Update</x:v>
      </x:c>
      <x:c r="C33" s="4" t="str">
        <x:v>kAuth</x:v>
      </x:c>
      <x:c r="D33" s="4" t="str">
        <x:v>SCENE</x:v>
      </x:c>
      <x:c r="E33" s="4" t="str">
        <x:v>SCENE-001、SCENE-002、SCENE-003、SCENE-004、SCENE-005、SCENE-006、SCENE-007、SCENE-008、SCENE-009</x:v>
      </x:c>
      <x:c r="F33" s="4" t="str">
        <x:v>API-001；API-002（每路由独立请求夹具）</x:v>
      </x:c>
      <x:c r="G33" s="4" t="str">
        <x:v>含写操作/生命周期；按具体契约执行</x:v>
      </x:c>
      <x:c r="H33" s="4" t="str">
        <x:v>src/api/ApiRouter.cc:206</x:v>
      </x:c>
      <x:c r="I33" s="4" t="str">
        <x:v>未执行</x:v>
      </x:c>
      <x:c r="J33" s="12" t="str"/>
    </x:row>
    <x:row r="34" ht="32" customHeight="1">
      <x:c r="A34" s="9" t="str">
        <x:v>APIREF-030</x:v>
      </x:c>
      <x:c r="B34" s="9" t="str">
        <x:v>/gtw/cwai/Algorithm/Delete</x:v>
      </x:c>
      <x:c r="C34" s="9" t="str">
        <x:v>kAuth</x:v>
      </x:c>
      <x:c r="D34" s="9" t="str">
        <x:v>SCENE</x:v>
      </x:c>
      <x:c r="E34" s="9" t="str">
        <x:v>SCENE-001、SCENE-002、SCENE-003、SCENE-004、SCENE-005、SCENE-006、SCENE-007、SCENE-008、SCENE-009</x:v>
      </x:c>
      <x:c r="F34" s="9" t="str">
        <x:v>API-001；API-002（每路由独立请求夹具）</x:v>
      </x:c>
      <x:c r="G34" s="9" t="str">
        <x:v>含写操作/生命周期；按具体契约执行</x:v>
      </x:c>
      <x:c r="H34" s="9" t="str">
        <x:v>src/api/ApiRouter.cc:207</x:v>
      </x:c>
      <x:c r="I34" s="9" t="str">
        <x:v>未执行</x:v>
      </x:c>
      <x:c r="J34" s="12" t="str"/>
    </x:row>
    <x:row r="35" ht="32" customHeight="1">
      <x:c r="A35" s="4" t="str">
        <x:v>APIREF-031</x:v>
      </x:c>
      <x:c r="B35" s="4" t="str">
        <x:v>/gtw/cwai/Algorithm/Add</x:v>
      </x:c>
      <x:c r="C35" s="4" t="str">
        <x:v>kAuth</x:v>
      </x:c>
      <x:c r="D35" s="4" t="str">
        <x:v>SCENE</x:v>
      </x:c>
      <x:c r="E35" s="4" t="str">
        <x:v>SCENE-001、SCENE-002、SCENE-003、SCENE-004、SCENE-005、SCENE-006、SCENE-007、SCENE-008、SCENE-009</x:v>
      </x:c>
      <x:c r="F35" s="4" t="str">
        <x:v>API-001；API-002（每路由独立请求夹具）</x:v>
      </x:c>
      <x:c r="G35" s="4" t="str">
        <x:v>含写操作/生命周期；按具体契约执行</x:v>
      </x:c>
      <x:c r="H35" s="4" t="str">
        <x:v>src/api/ApiRouter.cc:208</x:v>
      </x:c>
      <x:c r="I35" s="4" t="str">
        <x:v>未执行</x:v>
      </x:c>
      <x:c r="J35" s="12" t="str"/>
    </x:row>
    <x:row r="36" ht="32" customHeight="1">
      <x:c r="A36" s="9" t="str">
        <x:v>APIREF-032</x:v>
      </x:c>
      <x:c r="B36" s="9" t="str">
        <x:v>/gtw/cwai/Algorithm/PassFlowList</x:v>
      </x:c>
      <x:c r="C36" s="9" t="str">
        <x:v>kAuth</x:v>
      </x:c>
      <x:c r="D36" s="9" t="str">
        <x:v>SCENE</x:v>
      </x:c>
      <x:c r="E36" s="9" t="str">
        <x:v>SCENE-001、SCENE-002、SCENE-003、SCENE-004、SCENE-005、SCENE-006、SCENE-007、SCENE-008、SCENE-009</x:v>
      </x:c>
      <x:c r="F36" s="9" t="str">
        <x:v>API-001；API-002（每路由独立请求夹具）</x:v>
      </x:c>
      <x:c r="G36" s="9" t="str">
        <x:v>只读</x:v>
      </x:c>
      <x:c r="H36" s="9" t="str">
        <x:v>src/api/ApiRouter.cc:209</x:v>
      </x:c>
      <x:c r="I36" s="9" t="str">
        <x:v>未执行</x:v>
      </x:c>
      <x:c r="J36" s="12" t="str"/>
    </x:row>
    <x:row r="37" ht="32" customHeight="1">
      <x:c r="A37" s="4" t="str">
        <x:v>APIREF-033</x:v>
      </x:c>
      <x:c r="B37" s="4" t="str">
        <x:v>/gtw/cwai/aihost/PTaskCreate</x:v>
      </x:c>
      <x:c r="C37" s="4" t="str">
        <x:v>kAuth</x:v>
      </x:c>
      <x:c r="D37" s="4" t="str">
        <x:v>API</x:v>
      </x:c>
      <x:c r="E37" s="4" t="str">
        <x:v>API-001、API-002、API-003、API-004、API-005、API-006、API-007、API-008</x:v>
      </x:c>
      <x:c r="F37" s="4" t="str">
        <x:v>API-001；API-002（每路由独立请求夹具）</x:v>
      </x:c>
      <x:c r="G37" s="4" t="str">
        <x:v>含写操作/生命周期；按具体契约执行</x:v>
      </x:c>
      <x:c r="H37" s="4" t="str">
        <x:v>src/api/ApiRouter.cc:155</x:v>
      </x:c>
      <x:c r="I37" s="4" t="str">
        <x:v>未执行</x:v>
      </x:c>
      <x:c r="J37" s="12" t="str"/>
    </x:row>
    <x:row r="38" ht="32" customHeight="1">
      <x:c r="A38" s="9" t="str">
        <x:v>APIREF-034</x:v>
      </x:c>
      <x:c r="B38" s="9" t="str">
        <x:v>/gtw/cwai/aihost/PTaskCancle</x:v>
      </x:c>
      <x:c r="C38" s="9" t="str">
        <x:v>kAuth</x:v>
      </x:c>
      <x:c r="D38" s="9" t="str">
        <x:v>API</x:v>
      </x:c>
      <x:c r="E38" s="9" t="str">
        <x:v>API-001、API-002、API-003、API-004、API-005、API-006、API-007、API-008</x:v>
      </x:c>
      <x:c r="F38" s="9" t="str">
        <x:v>API-001；API-002（每路由独立请求夹具）</x:v>
      </x:c>
      <x:c r="G38" s="9" t="str">
        <x:v>含写操作/生命周期；按具体契约执行</x:v>
      </x:c>
      <x:c r="H38" s="9" t="str">
        <x:v>src/api/ApiRouter.cc:160</x:v>
      </x:c>
      <x:c r="I38" s="9" t="str">
        <x:v>未执行</x:v>
      </x:c>
      <x:c r="J38" s="12" t="str"/>
    </x:row>
    <x:row r="39" ht="32" customHeight="1">
      <x:c r="A39" s="4" t="str">
        <x:v>APIREF-035</x:v>
      </x:c>
      <x:c r="B39" s="4" t="str">
        <x:v>/gtw/cwai/aihost/PTaskDetectPic</x:v>
      </x:c>
      <x:c r="C39" s="4" t="str">
        <x:v>kAuth</x:v>
      </x:c>
      <x:c r="D39" s="4" t="str">
        <x:v>API</x:v>
      </x:c>
      <x:c r="E39" s="4" t="str">
        <x:v>API-001、API-002、API-003、API-004、API-005、API-006、API-007、API-008</x:v>
      </x:c>
      <x:c r="F39" s="4" t="str">
        <x:v>API-001；API-002（每路由独立请求夹具）</x:v>
      </x:c>
      <x:c r="G39" s="4" t="str">
        <x:v>含写操作/生命周期；按具体契约执行</x:v>
      </x:c>
      <x:c r="H39" s="4" t="str">
        <x:v>src/api/ApiRouter.cc:165</x:v>
      </x:c>
      <x:c r="I39" s="4" t="str">
        <x:v>未执行</x:v>
      </x:c>
      <x:c r="J39" s="12" t="str"/>
    </x:row>
    <x:row r="40" ht="32" customHeight="1">
      <x:c r="A40" s="9" t="str">
        <x:v>APIREF-036</x:v>
      </x:c>
      <x:c r="B40" s="9" t="str">
        <x:v>/gtw/cwai/login/ModifyPassword</x:v>
      </x:c>
      <x:c r="C40" s="9" t="str">
        <x:v>kAuth</x:v>
      </x:c>
      <x:c r="D40" s="9" t="str">
        <x:v>AUTH</x:v>
      </x:c>
      <x:c r="E40" s="9" t="str">
        <x:v>AUTH-001、AUTH-002、AUTH-003、AUTH-004、AUTH-005、AUTH-006、AUTH-007、AUTH-008</x:v>
      </x:c>
      <x:c r="F40" s="9" t="str">
        <x:v>API-001；API-002（每路由独立请求夹具）</x:v>
      </x:c>
      <x:c r="G40" s="9" t="str">
        <x:v>含写操作/生命周期；按具体契约执行</x:v>
      </x:c>
      <x:c r="H40" s="9" t="str">
        <x:v>src/api/ApiRouter.cc:176</x:v>
      </x:c>
      <x:c r="I40" s="9" t="str">
        <x:v>未执行</x:v>
      </x:c>
      <x:c r="J40" s="12" t="str"/>
    </x:row>
    <x:row r="41" ht="32" customHeight="1">
      <x:c r="A41" s="4" t="str">
        <x:v>APIREF-037</x:v>
      </x:c>
      <x:c r="B41" s="4" t="str">
        <x:v>/gtw/cwai/algorithm/layout/save</x:v>
      </x:c>
      <x:c r="C41" s="4" t="str">
        <x:v>kAuth</x:v>
      </x:c>
      <x:c r="D41" s="4" t="str">
        <x:v>SCENE</x:v>
      </x:c>
      <x:c r="E41" s="4" t="str">
        <x:v>SCENE-001、SCENE-002、SCENE-003、SCENE-004、SCENE-005、SCENE-006、SCENE-007、SCENE-008、SCENE-009</x:v>
      </x:c>
      <x:c r="F41" s="4" t="str">
        <x:v>API-001；API-002（每路由独立请求夹具）</x:v>
      </x:c>
      <x:c r="G41" s="4" t="str">
        <x:v>含写操作/生命周期；按具体契约执行</x:v>
      </x:c>
      <x:c r="H41" s="4" t="str">
        <x:v>src/api/ApiRouter.cc:213</x:v>
      </x:c>
      <x:c r="I41" s="4" t="str">
        <x:v>未执行</x:v>
      </x:c>
      <x:c r="J41" s="12" t="str"/>
    </x:row>
    <x:row r="42" ht="32" customHeight="1">
      <x:c r="A42" s="9" t="str">
        <x:v>APIREF-038</x:v>
      </x:c>
      <x:c r="B42" s="9" t="str">
        <x:v>/gtw/cwai/algorithm/layout/detail</x:v>
      </x:c>
      <x:c r="C42" s="9" t="str">
        <x:v>kAuth</x:v>
      </x:c>
      <x:c r="D42" s="9" t="str">
        <x:v>SCENE</x:v>
      </x:c>
      <x:c r="E42" s="9" t="str">
        <x:v>SCENE-001、SCENE-002、SCENE-003、SCENE-004、SCENE-005、SCENE-006、SCENE-007、SCENE-008、SCENE-009</x:v>
      </x:c>
      <x:c r="F42" s="9" t="str">
        <x:v>API-001；API-002（每路由独立请求夹具）</x:v>
      </x:c>
      <x:c r="G42" s="9" t="str">
        <x:v>只读</x:v>
      </x:c>
      <x:c r="H42" s="9" t="str">
        <x:v>src/api/ApiRouter.cc:218</x:v>
      </x:c>
      <x:c r="I42" s="9" t="str">
        <x:v>未执行</x:v>
      </x:c>
      <x:c r="J42" s="12" t="str"/>
    </x:row>
    <x:row r="43" ht="32" customHeight="1">
      <x:c r="A43" s="4" t="str">
        <x:v>APIREF-039</x:v>
      </x:c>
      <x:c r="B43" s="4" t="str">
        <x:v>/gtw/cwai/algorithm/layout/list</x:v>
      </x:c>
      <x:c r="C43" s="4" t="str">
        <x:v>kAuth</x:v>
      </x:c>
      <x:c r="D43" s="4" t="str">
        <x:v>SCENE</x:v>
      </x:c>
      <x:c r="E43" s="4" t="str">
        <x:v>SCENE-001、SCENE-002、SCENE-003、SCENE-004、SCENE-005、SCENE-006、SCENE-007、SCENE-008、SCENE-009</x:v>
      </x:c>
      <x:c r="F43" s="4" t="str">
        <x:v>API-001；API-002（每路由独立请求夹具）</x:v>
      </x:c>
      <x:c r="G43" s="4" t="str">
        <x:v>只读</x:v>
      </x:c>
      <x:c r="H43" s="4" t="str">
        <x:v>src/api/ApiRouter.cc:223</x:v>
      </x:c>
      <x:c r="I43" s="4" t="str">
        <x:v>未执行</x:v>
      </x:c>
      <x:c r="J43" s="12" t="str"/>
    </x:row>
    <x:row r="44" ht="32" customHeight="1">
      <x:c r="A44" s="9" t="str">
        <x:v>APIREF-040</x:v>
      </x:c>
      <x:c r="B44" s="9" t="str">
        <x:v>/gtw/cwai/algorithm/layout/exportSingleAlg</x:v>
      </x:c>
      <x:c r="C44" s="9" t="str">
        <x:v>kAuth</x:v>
      </x:c>
      <x:c r="D44" s="9" t="str">
        <x:v>SCENE</x:v>
      </x:c>
      <x:c r="E44" s="9" t="str">
        <x:v>SCENE-001、SCENE-002、SCENE-003、SCENE-004、SCENE-005、SCENE-006、SCENE-007、SCENE-008、SCENE-009</x:v>
      </x:c>
      <x:c r="F44" s="9" t="str">
        <x:v>API-001；API-002（每路由独立请求夹具）</x:v>
      </x:c>
      <x:c r="G44" s="9" t="str">
        <x:v>含写操作/生命周期；按具体契约执行</x:v>
      </x:c>
      <x:c r="H44" s="9" t="str">
        <x:v>src/api/ApiRouter.cc:228</x:v>
      </x:c>
      <x:c r="I44" s="9" t="str">
        <x:v>未执行</x:v>
      </x:c>
      <x:c r="J44" s="12" t="str"/>
    </x:row>
    <x:row r="45" ht="32" customHeight="1">
      <x:c r="A45" s="4" t="str">
        <x:v>APIREF-041</x:v>
      </x:c>
      <x:c r="B45" s="4" t="str">
        <x:v>/gtw/cwai/algorithm/layout/export</x:v>
      </x:c>
      <x:c r="C45" s="4" t="str">
        <x:v>kAuth</x:v>
      </x:c>
      <x:c r="D45" s="4" t="str">
        <x:v>SCENE</x:v>
      </x:c>
      <x:c r="E45" s="4" t="str">
        <x:v>SCENE-001、SCENE-002、SCENE-003、SCENE-004、SCENE-005、SCENE-006、SCENE-007、SCENE-008、SCENE-009</x:v>
      </x:c>
      <x:c r="F45" s="4" t="str">
        <x:v>API-001；API-002（每路由独立请求夹具）</x:v>
      </x:c>
      <x:c r="G45" s="4" t="str">
        <x:v>含写操作/生命周期；按具体契约执行</x:v>
      </x:c>
      <x:c r="H45" s="4" t="str">
        <x:v>src/api/ApiRouter.cc:237</x:v>
      </x:c>
      <x:c r="I45" s="4" t="str">
        <x:v>未执行</x:v>
      </x:c>
      <x:c r="J45" s="12" t="str"/>
    </x:row>
    <x:row r="46" ht="40" customHeight="1">
      <x:c r="A46" s="9" t="str">
        <x:v>APIREF-042</x:v>
      </x:c>
      <x:c r="B46" s="9" t="str">
        <x:v>/gtw/cwai/atomic/action/list</x:v>
      </x:c>
      <x:c r="C46" s="9" t="str">
        <x:v>kAuth</x:v>
      </x:c>
      <x:c r="D46" s="9" t="str">
        <x:v>FLOW</x:v>
      </x:c>
      <x:c r="E46" s="9" t="str">
        <x:v>FLOW-001、FLOW-002、FLOW-003、FLOW-004、FLOW-005、FLOW-006、FLOW-007、FLOW-008、FLOW-009、FLOW-010、FLOW-011、FLOW-012</x:v>
      </x:c>
      <x:c r="F46" s="9" t="str">
        <x:v>API-001；API-002（每路由独立请求夹具）</x:v>
      </x:c>
      <x:c r="G46" s="9" t="str">
        <x:v>只读</x:v>
      </x:c>
      <x:c r="H46" s="9" t="str">
        <x:v>src/api/ApiRouter.cc:245</x:v>
      </x:c>
      <x:c r="I46" s="9" t="str">
        <x:v>未执行</x:v>
      </x:c>
      <x:c r="J46" s="12" t="str"/>
    </x:row>
    <x:row r="47" ht="40" customHeight="1">
      <x:c r="A47" s="4" t="str">
        <x:v>APIREF-043</x:v>
      </x:c>
      <x:c r="B47" s="4" t="str">
        <x:v>/gtw/cwai/atomic/Model/Page</x:v>
      </x:c>
      <x:c r="C47" s="4" t="str">
        <x:v>kAuth</x:v>
      </x:c>
      <x:c r="D47" s="4" t="str">
        <x:v>MODEL</x:v>
      </x:c>
      <x:c r="E47" s="4" t="str">
        <x:v>MODEL-001、MODEL-002、MODEL-003、MODEL-004、MODEL-005、MODEL-006、MODEL-007、MODEL-008、MODEL-009、MODEL-010、MODEL-011</x:v>
      </x:c>
      <x:c r="F47" s="4" t="str">
        <x:v>API-001；API-002（每路由独立请求夹具）</x:v>
      </x:c>
      <x:c r="G47" s="4" t="str">
        <x:v>只读</x:v>
      </x:c>
      <x:c r="H47" s="4" t="str">
        <x:v>src/api/ApiRouterRoutes.cc:96</x:v>
      </x:c>
      <x:c r="I47" s="4" t="str">
        <x:v>未执行</x:v>
      </x:c>
      <x:c r="J47" s="12" t="str"/>
    </x:row>
    <x:row r="48" ht="40" customHeight="1">
      <x:c r="A48" s="9" t="str">
        <x:v>APIREF-044</x:v>
      </x:c>
      <x:c r="B48" s="9" t="str">
        <x:v>/gtw/cwai/atomic/Model/Upload</x:v>
      </x:c>
      <x:c r="C48" s="9" t="str">
        <x:v>kAuth</x:v>
      </x:c>
      <x:c r="D48" s="9" t="str">
        <x:v>MODEL</x:v>
      </x:c>
      <x:c r="E48" s="9" t="str">
        <x:v>MODEL-001、MODEL-002、MODEL-003、MODEL-004、MODEL-005、MODEL-006、MODEL-007、MODEL-008、MODEL-009、MODEL-010、MODEL-011</x:v>
      </x:c>
      <x:c r="F48" s="9" t="str">
        <x:v>API-001；API-002（每路由独立请求夹具）</x:v>
      </x:c>
      <x:c r="G48" s="9" t="str">
        <x:v>含写操作/生命周期；按具体契约执行</x:v>
      </x:c>
      <x:c r="H48" s="9" t="str">
        <x:v>src/api/ApiRouterRoutes.cc:97</x:v>
      </x:c>
      <x:c r="I48" s="9" t="str">
        <x:v>未执行</x:v>
      </x:c>
      <x:c r="J48" s="12" t="str"/>
    </x:row>
    <x:row r="49" ht="40" customHeight="1">
      <x:c r="A49" s="4" t="str">
        <x:v>APIREF-045</x:v>
      </x:c>
      <x:c r="B49" s="4" t="str">
        <x:v>/gtw/cwai/atomic/Model/List</x:v>
      </x:c>
      <x:c r="C49" s="4" t="str">
        <x:v>kAuth</x:v>
      </x:c>
      <x:c r="D49" s="4" t="str">
        <x:v>MODEL</x:v>
      </x:c>
      <x:c r="E49" s="4" t="str">
        <x:v>MODEL-001、MODEL-002、MODEL-003、MODEL-004、MODEL-005、MODEL-006、MODEL-007、MODEL-008、MODEL-009、MODEL-010、MODEL-011</x:v>
      </x:c>
      <x:c r="F49" s="4" t="str">
        <x:v>API-001；API-002（每路由独立请求夹具）</x:v>
      </x:c>
      <x:c r="G49" s="4" t="str">
        <x:v>只读</x:v>
      </x:c>
      <x:c r="H49" s="4" t="str">
        <x:v>src/api/ApiRouterRoutes.cc:98</x:v>
      </x:c>
      <x:c r="I49" s="4" t="str">
        <x:v>未执行</x:v>
      </x:c>
      <x:c r="J49" s="12" t="str"/>
    </x:row>
    <x:row r="50" ht="40" customHeight="1">
      <x:c r="A50" s="9" t="str">
        <x:v>APIREF-046</x:v>
      </x:c>
      <x:c r="B50" s="9" t="str">
        <x:v>/gtw/cwai/atomic/Model/Add</x:v>
      </x:c>
      <x:c r="C50" s="9" t="str">
        <x:v>kAuth</x:v>
      </x:c>
      <x:c r="D50" s="9" t="str">
        <x:v>MODEL</x:v>
      </x:c>
      <x:c r="E50" s="9" t="str">
        <x:v>MODEL-001、MODEL-002、MODEL-003、MODEL-004、MODEL-005、MODEL-006、MODEL-007、MODEL-008、MODEL-009、MODEL-010、MODEL-011</x:v>
      </x:c>
      <x:c r="F50" s="9" t="str">
        <x:v>API-001；API-002（每路由独立请求夹具）</x:v>
      </x:c>
      <x:c r="G50" s="9" t="str">
        <x:v>含写操作/生命周期；按具体契约执行</x:v>
      </x:c>
      <x:c r="H50" s="9" t="str">
        <x:v>src/api/ApiRouterRoutes.cc:99</x:v>
      </x:c>
      <x:c r="I50" s="9" t="str">
        <x:v>未执行</x:v>
      </x:c>
      <x:c r="J50" s="12" t="str"/>
    </x:row>
    <x:row r="51" ht="40" customHeight="1">
      <x:c r="A51" s="4" t="str">
        <x:v>APIREF-047</x:v>
      </x:c>
      <x:c r="B51" s="4" t="str">
        <x:v>/gtw/cwai/atomic/Model/UploadCapabilities</x:v>
      </x:c>
      <x:c r="C51" s="4" t="str">
        <x:v>kAuth</x:v>
      </x:c>
      <x:c r="D51" s="4" t="str">
        <x:v>MODEL</x:v>
      </x:c>
      <x:c r="E51" s="4" t="str">
        <x:v>MODEL-001、MODEL-002、MODEL-003、MODEL-004、MODEL-005、MODEL-006、MODEL-007、MODEL-008、MODEL-009、MODEL-010、MODEL-011</x:v>
      </x:c>
      <x:c r="F51" s="4" t="str">
        <x:v>API-001；API-002（每路由独立请求夹具）</x:v>
      </x:c>
      <x:c r="G51" s="4" t="str">
        <x:v>含写操作/生命周期；按具体契约执行</x:v>
      </x:c>
      <x:c r="H51" s="4" t="str">
        <x:v>src/api/ApiRouterRoutes.cc:116</x:v>
      </x:c>
      <x:c r="I51" s="4" t="str">
        <x:v>未执行</x:v>
      </x:c>
      <x:c r="J51" s="12" t="str"/>
    </x:row>
    <x:row r="52" ht="40" customHeight="1">
      <x:c r="A52" s="9" t="str">
        <x:v>APIREF-048</x:v>
      </x:c>
      <x:c r="B52" s="9" t="str">
        <x:v>/gtw/cwai/atomic/Model/GetConfig</x:v>
      </x:c>
      <x:c r="C52" s="9" t="str">
        <x:v>kAuth</x:v>
      </x:c>
      <x:c r="D52" s="9" t="str">
        <x:v>MODEL</x:v>
      </x:c>
      <x:c r="E52" s="9" t="str">
        <x:v>MODEL-001、MODEL-002、MODEL-003、MODEL-004、MODEL-005、MODEL-006、MODEL-007、MODEL-008、MODEL-009、MODEL-010、MODEL-011</x:v>
      </x:c>
      <x:c r="F52" s="9" t="str">
        <x:v>API-001；API-002（每路由独立请求夹具）</x:v>
      </x:c>
      <x:c r="G52" s="9" t="str">
        <x:v>只读</x:v>
      </x:c>
      <x:c r="H52" s="9" t="str">
        <x:v>src/api/ApiRouterRoutes.cc:117</x:v>
      </x:c>
      <x:c r="I52" s="9" t="str">
        <x:v>未执行</x:v>
      </x:c>
      <x:c r="J52" s="12" t="str"/>
    </x:row>
    <x:row r="53" ht="40" customHeight="1">
      <x:c r="A53" s="4" t="str">
        <x:v>APIREF-049</x:v>
      </x:c>
      <x:c r="B53" s="4" t="str">
        <x:v>/gtw/cwai/atomic/Model/SaveConfig</x:v>
      </x:c>
      <x:c r="C53" s="4" t="str">
        <x:v>kAuth</x:v>
      </x:c>
      <x:c r="D53" s="4" t="str">
        <x:v>MODEL</x:v>
      </x:c>
      <x:c r="E53" s="4" t="str">
        <x:v>MODEL-001、MODEL-002、MODEL-003、MODEL-004、MODEL-005、MODEL-006、MODEL-007、MODEL-008、MODEL-009、MODEL-010、MODEL-011</x:v>
      </x:c>
      <x:c r="F53" s="4" t="str">
        <x:v>API-001；API-002（每路由独立请求夹具）</x:v>
      </x:c>
      <x:c r="G53" s="4" t="str">
        <x:v>含写操作/生命周期；按具体契约执行</x:v>
      </x:c>
      <x:c r="H53" s="4" t="str">
        <x:v>src/api/ApiRouterRoutes.cc:118</x:v>
      </x:c>
      <x:c r="I53" s="4" t="str">
        <x:v>未执行</x:v>
      </x:c>
      <x:c r="J53" s="12" t="str"/>
    </x:row>
    <x:row r="54" ht="40" customHeight="1">
      <x:c r="A54" s="9" t="str">
        <x:v>APIREF-050</x:v>
      </x:c>
      <x:c r="B54" s="9" t="str">
        <x:v>/gtw/cwai/atomic/Model/GetModelComponents</x:v>
      </x:c>
      <x:c r="C54" s="9" t="str">
        <x:v>kAuth</x:v>
      </x:c>
      <x:c r="D54" s="9" t="str">
        <x:v>MODEL</x:v>
      </x:c>
      <x:c r="E54" s="9" t="str">
        <x:v>MODEL-001、MODEL-002、MODEL-003、MODEL-004、MODEL-005、MODEL-006、MODEL-007、MODEL-008、MODEL-009、MODEL-010、MODEL-011</x:v>
      </x:c>
      <x:c r="F54" s="9" t="str">
        <x:v>API-001；API-002（每路由独立请求夹具）</x:v>
      </x:c>
      <x:c r="G54" s="9" t="str">
        <x:v>只读</x:v>
      </x:c>
      <x:c r="H54" s="9" t="str">
        <x:v>src/api/ApiRouterRoutes.cc:119</x:v>
      </x:c>
      <x:c r="I54" s="9" t="str">
        <x:v>未执行</x:v>
      </x:c>
      <x:c r="J54" s="12" t="str"/>
    </x:row>
    <x:row r="55" ht="40" customHeight="1">
      <x:c r="A55" s="4" t="str">
        <x:v>APIREF-051</x:v>
      </x:c>
      <x:c r="B55" s="4" t="str">
        <x:v>/gtw/cwai/atomic/Model/Delete</x:v>
      </x:c>
      <x:c r="C55" s="4" t="str">
        <x:v>kAuth</x:v>
      </x:c>
      <x:c r="D55" s="4" t="str">
        <x:v>MODEL</x:v>
      </x:c>
      <x:c r="E55" s="4" t="str">
        <x:v>MODEL-001、MODEL-002、MODEL-003、MODEL-004、MODEL-005、MODEL-006、MODEL-007、MODEL-008、MODEL-009、MODEL-010、MODEL-011</x:v>
      </x:c>
      <x:c r="F55" s="4" t="str">
        <x:v>API-001；API-002（每路由独立请求夹具）</x:v>
      </x:c>
      <x:c r="G55" s="4" t="str">
        <x:v>含写操作/生命周期；按具体契约执行</x:v>
      </x:c>
      <x:c r="H55" s="4" t="str">
        <x:v>src/api/ApiRouterRoutes.cc:120</x:v>
      </x:c>
      <x:c r="I55" s="4" t="str">
        <x:v>未执行</x:v>
      </x:c>
      <x:c r="J55" s="12" t="str"/>
    </x:row>
    <x:row r="56" ht="40" customHeight="1">
      <x:c r="A56" s="9" t="str">
        <x:v>APIREF-052</x:v>
      </x:c>
      <x:c r="B56" s="9" t="str">
        <x:v>/gtw/cwai/atomic/Model/Update</x:v>
      </x:c>
      <x:c r="C56" s="9" t="str">
        <x:v>kAuth</x:v>
      </x:c>
      <x:c r="D56" s="9" t="str">
        <x:v>MODEL</x:v>
      </x:c>
      <x:c r="E56" s="9" t="str">
        <x:v>MODEL-001、MODEL-002、MODEL-003、MODEL-004、MODEL-005、MODEL-006、MODEL-007、MODEL-008、MODEL-009、MODEL-010、MODEL-011</x:v>
      </x:c>
      <x:c r="F56" s="9" t="str">
        <x:v>API-001；API-002（每路由独立请求夹具）</x:v>
      </x:c>
      <x:c r="G56" s="9" t="str">
        <x:v>含写操作/生命周期；按具体契约执行</x:v>
      </x:c>
      <x:c r="H56" s="9" t="str">
        <x:v>src/api/ApiRouterRoutes.cc:121</x:v>
      </x:c>
      <x:c r="I56" s="9" t="str">
        <x:v>未执行</x:v>
      </x:c>
      <x:c r="J56" s="12" t="str"/>
    </x:row>
    <x:row r="57" ht="40" customHeight="1">
      <x:c r="A57" s="4" t="str">
        <x:v>APIREF-053</x:v>
      </x:c>
      <x:c r="B57" s="4" t="str">
        <x:v>/gtw/cwai/atomic/Model/ImportModel</x:v>
      </x:c>
      <x:c r="C57" s="4" t="str">
        <x:v>kAuth</x:v>
      </x:c>
      <x:c r="D57" s="4" t="str">
        <x:v>MODEL</x:v>
      </x:c>
      <x:c r="E57" s="4" t="str">
        <x:v>MODEL-001、MODEL-002、MODEL-003、MODEL-004、MODEL-005、MODEL-006、MODEL-007、MODEL-008、MODEL-009、MODEL-010、MODEL-011</x:v>
      </x:c>
      <x:c r="F57" s="4" t="str">
        <x:v>API-001；API-002（每路由独立请求夹具）</x:v>
      </x:c>
      <x:c r="G57" s="4" t="str">
        <x:v>含写操作/生命周期；按具体契约执行</x:v>
      </x:c>
      <x:c r="H57" s="4" t="str">
        <x:v>src/api/ApiRouterRoutes.cc:122</x:v>
      </x:c>
      <x:c r="I57" s="4" t="str">
        <x:v>未执行</x:v>
      </x:c>
      <x:c r="J57" s="12" t="str"/>
    </x:row>
    <x:row r="58" ht="32" customHeight="1">
      <x:c r="A58" s="9" t="str">
        <x:v>APIREF-054</x:v>
      </x:c>
      <x:c r="B58" s="9" t="str">
        <x:v>/gtw/cwai/schedule/Add</x:v>
      </x:c>
      <x:c r="C58" s="9" t="str">
        <x:v>kAuth</x:v>
      </x:c>
      <x:c r="D58" s="9" t="str">
        <x:v>SCH</x:v>
      </x:c>
      <x:c r="E58" s="9" t="str">
        <x:v>SCH-001、SCH-002、SCH-003、SCH-004、SCH-005、SCH-006</x:v>
      </x:c>
      <x:c r="F58" s="9" t="str">
        <x:v>API-001；API-002（每路由独立请求夹具）</x:v>
      </x:c>
      <x:c r="G58" s="9" t="str">
        <x:v>含写操作/生命周期；按具体契约执行</x:v>
      </x:c>
      <x:c r="H58" s="9" t="str">
        <x:v>src/api/ApiRouterRoutes.cc:135</x:v>
      </x:c>
      <x:c r="I58" s="9" t="str">
        <x:v>未执行</x:v>
      </x:c>
      <x:c r="J58" s="12" t="str"/>
    </x:row>
    <x:row r="59" ht="32" customHeight="1">
      <x:c r="A59" s="4" t="str">
        <x:v>APIREF-055</x:v>
      </x:c>
      <x:c r="B59" s="4" t="str">
        <x:v>/gtw/cwai/schedule/Update</x:v>
      </x:c>
      <x:c r="C59" s="4" t="str">
        <x:v>kAuth</x:v>
      </x:c>
      <x:c r="D59" s="4" t="str">
        <x:v>SCH</x:v>
      </x:c>
      <x:c r="E59" s="4" t="str">
        <x:v>SCH-001、SCH-002、SCH-003、SCH-004、SCH-005、SCH-006</x:v>
      </x:c>
      <x:c r="F59" s="4" t="str">
        <x:v>API-001；API-002（每路由独立请求夹具）</x:v>
      </x:c>
      <x:c r="G59" s="4" t="str">
        <x:v>含写操作/生命周期；按具体契约执行</x:v>
      </x:c>
      <x:c r="H59" s="4" t="str">
        <x:v>src/api/ApiRouterRoutes.cc:136</x:v>
      </x:c>
      <x:c r="I59" s="4" t="str">
        <x:v>未执行</x:v>
      </x:c>
      <x:c r="J59" s="12" t="str"/>
    </x:row>
    <x:row r="60" ht="32" customHeight="1">
      <x:c r="A60" s="9" t="str">
        <x:v>APIREF-056</x:v>
      </x:c>
      <x:c r="B60" s="9" t="str">
        <x:v>/gtw/cwai/schedule/Page</x:v>
      </x:c>
      <x:c r="C60" s="9" t="str">
        <x:v>kAuth</x:v>
      </x:c>
      <x:c r="D60" s="9" t="str">
        <x:v>SCH</x:v>
      </x:c>
      <x:c r="E60" s="9" t="str">
        <x:v>SCH-001、SCH-002、SCH-003、SCH-004、SCH-005、SCH-006</x:v>
      </x:c>
      <x:c r="F60" s="9" t="str">
        <x:v>API-001；API-002（每路由独立请求夹具）</x:v>
      </x:c>
      <x:c r="G60" s="9" t="str">
        <x:v>只读</x:v>
      </x:c>
      <x:c r="H60" s="9" t="str">
        <x:v>src/api/ApiRouterRoutes.cc:137</x:v>
      </x:c>
      <x:c r="I60" s="9" t="str">
        <x:v>未执行</x:v>
      </x:c>
      <x:c r="J60" s="12" t="str"/>
    </x:row>
    <x:row r="61" ht="32" customHeight="1">
      <x:c r="A61" s="4" t="str">
        <x:v>APIREF-057</x:v>
      </x:c>
      <x:c r="B61" s="4" t="str">
        <x:v>/gtw/cwai/schedule/Delete</x:v>
      </x:c>
      <x:c r="C61" s="4" t="str">
        <x:v>kAuth</x:v>
      </x:c>
      <x:c r="D61" s="4" t="str">
        <x:v>SCH</x:v>
      </x:c>
      <x:c r="E61" s="4" t="str">
        <x:v>SCH-001、SCH-002、SCH-003、SCH-004、SCH-005、SCH-006</x:v>
      </x:c>
      <x:c r="F61" s="4" t="str">
        <x:v>API-001；API-002（每路由独立请求夹具）</x:v>
      </x:c>
      <x:c r="G61" s="4" t="str">
        <x:v>含写操作/生命周期；按具体契约执行</x:v>
      </x:c>
      <x:c r="H61" s="4" t="str">
        <x:v>src/api/ApiRouterRoutes.cc:138</x:v>
      </x:c>
      <x:c r="I61" s="4" t="str">
        <x:v>未执行</x:v>
      </x:c>
      <x:c r="J61" s="12" t="str"/>
    </x:row>
    <x:row r="62" ht="32" customHeight="1">
      <x:c r="A62" s="9" t="str">
        <x:v>APIREF-058</x:v>
      </x:c>
      <x:c r="B62" s="9" t="str">
        <x:v>/gtw/cwai/schedule/SelectScheduleInfo</x:v>
      </x:c>
      <x:c r="C62" s="9" t="str">
        <x:v>kAuth</x:v>
      </x:c>
      <x:c r="D62" s="9" t="str">
        <x:v>SCH</x:v>
      </x:c>
      <x:c r="E62" s="9" t="str">
        <x:v>SCH-001、SCH-002、SCH-003、SCH-004、SCH-005、SCH-006</x:v>
      </x:c>
      <x:c r="F62" s="9" t="str">
        <x:v>API-001；API-002（每路由独立请求夹具）</x:v>
      </x:c>
      <x:c r="G62" s="9" t="str">
        <x:v>只读</x:v>
      </x:c>
      <x:c r="H62" s="9" t="str">
        <x:v>src/api/ApiRouterRoutes.cc:139</x:v>
      </x:c>
      <x:c r="I62" s="9" t="str">
        <x:v>未执行</x:v>
      </x:c>
      <x:c r="J62" s="12" t="str"/>
    </x:row>
    <x:row r="63" ht="40" customHeight="1">
      <x:c r="A63" s="4" t="str">
        <x:v>APIREF-059</x:v>
      </x:c>
      <x:c r="B63" s="4" t="str">
        <x:v>/gtw/cwai/Event/Page</x:v>
      </x:c>
      <x:c r="C63" s="4" t="str">
        <x:v>kAuth</x:v>
      </x:c>
      <x:c r="D63" s="4" t="str">
        <x:v>EVENT</x:v>
      </x:c>
      <x:c r="E63" s="4" t="str">
        <x:v>EVENT-001、EVENT-002、EVENT-003、EVENT-004、EVENT-005、EVENT-006、EVENT-007、EVENT-008、EVENT-009、EVENT-010、EVENT-011</x:v>
      </x:c>
      <x:c r="F63" s="4" t="str">
        <x:v>API-001；API-002（每路由独立请求夹具）</x:v>
      </x:c>
      <x:c r="G63" s="4" t="str">
        <x:v>只读</x:v>
      </x:c>
      <x:c r="H63" s="4" t="str">
        <x:v>src/api/ApiRouterRoutes.cc:144</x:v>
      </x:c>
      <x:c r="I63" s="4" t="str">
        <x:v>未执行</x:v>
      </x:c>
      <x:c r="J63" s="12" t="str"/>
    </x:row>
    <x:row r="64" ht="40" customHeight="1">
      <x:c r="A64" s="9" t="str">
        <x:v>APIREF-060</x:v>
      </x:c>
      <x:c r="B64" s="9" t="str">
        <x:v>/gtw/cwai/Event/ExportAlarm</x:v>
      </x:c>
      <x:c r="C64" s="9" t="str">
        <x:v>kAuth</x:v>
      </x:c>
      <x:c r="D64" s="9" t="str">
        <x:v>EVENT</x:v>
      </x:c>
      <x:c r="E64" s="9" t="str">
        <x:v>EVENT-001、EVENT-002、EVENT-003、EVENT-004、EVENT-005、EVENT-006、EVENT-007、EVENT-008、EVENT-009、EVENT-010、EVENT-011</x:v>
      </x:c>
      <x:c r="F64" s="9" t="str">
        <x:v>API-001；API-002（每路由独立请求夹具）</x:v>
      </x:c>
      <x:c r="G64" s="9" t="str">
        <x:v>含写操作/生命周期；按具体契约执行</x:v>
      </x:c>
      <x:c r="H64" s="9" t="str">
        <x:v>src/api/ApiRouterRoutes.cc:145</x:v>
      </x:c>
      <x:c r="I64" s="9" t="str">
        <x:v>未执行</x:v>
      </x:c>
      <x:c r="J64" s="12" t="str"/>
    </x:row>
    <x:row r="65" ht="40" customHeight="1">
      <x:c r="A65" s="4" t="str">
        <x:v>APIREF-061</x:v>
      </x:c>
      <x:c r="B65" s="4" t="str">
        <x:v>/gtw/cwai/Event/QueryPassengerFlowNumber</x:v>
      </x:c>
      <x:c r="C65" s="4" t="str">
        <x:v>kAuth</x:v>
      </x:c>
      <x:c r="D65" s="4" t="str">
        <x:v>EVENT</x:v>
      </x:c>
      <x:c r="E65" s="4" t="str">
        <x:v>EVENT-001、EVENT-002、EVENT-003、EVENT-004、EVENT-005、EVENT-006、EVENT-007、EVENT-008、EVENT-009、EVENT-010、EVENT-011</x:v>
      </x:c>
      <x:c r="F65" s="4" t="str">
        <x:v>API-001；API-002（每路由独立请求夹具）</x:v>
      </x:c>
      <x:c r="G65" s="4" t="str">
        <x:v>只读</x:v>
      </x:c>
      <x:c r="H65" s="4" t="str">
        <x:v>src/api/ApiRouterRoutes.cc:146</x:v>
      </x:c>
      <x:c r="I65" s="4" t="str">
        <x:v>未执行</x:v>
      </x:c>
      <x:c r="J65" s="12" t="str"/>
    </x:row>
    <x:row r="66" ht="40" customHeight="1">
      <x:c r="A66" s="9" t="str">
        <x:v>APIREF-062</x:v>
      </x:c>
      <x:c r="B66" s="9" t="str">
        <x:v>/gtw/cwai/Camera/Gb28181Manage</x:v>
      </x:c>
      <x:c r="C66" s="9" t="str">
        <x:v>kAuth</x:v>
      </x:c>
      <x:c r="D66" s="9" t="str">
        <x:v>GB</x:v>
      </x:c>
      <x:c r="E66" s="9" t="str">
        <x:v>GB-001、GB-002、GB-003、GB-004、GB-005、GB-006、GB-007、GB-008、GB-009、GB-010、GB-011、GB-012、GB-013、GB-014、GB-015、GB-016、GB-017、GB-018</x:v>
      </x:c>
      <x:c r="F66" s="9" t="str">
        <x:v>API-001；API-002（每路由独立请求夹具）</x:v>
      </x:c>
      <x:c r="G66" s="9" t="str">
        <x:v>含写操作/生命周期；按具体契约执行</x:v>
      </x:c>
      <x:c r="H66" s="9" t="str">
        <x:v>src/api/ApiRouterRoutes.cc:150</x:v>
      </x:c>
      <x:c r="I66" s="9" t="str">
        <x:v>未执行</x:v>
      </x:c>
      <x:c r="J66" s="12" t="str"/>
    </x:row>
    <x:row r="67" ht="40" customHeight="1">
      <x:c r="A67" s="4" t="str">
        <x:v>APIREF-063</x:v>
      </x:c>
      <x:c r="B67" s="4" t="str">
        <x:v>/gtw/cwai/Camera/OnvifInterfaces</x:v>
      </x:c>
      <x:c r="C67" s="4" t="str">
        <x:v>kAuth</x:v>
      </x:c>
      <x:c r="D67" s="4" t="str">
        <x:v>ONVIF</x:v>
      </x:c>
      <x:c r="E67" s="4" t="str">
        <x:v>ONVIF-001、ONVIF-002、ONVIF-003、ONVIF-004、ONVIF-005、ONVIF-006、ONVIF-007、ONVIF-008、ONVIF-009、ONVIF-010、ONVIF-011</x:v>
      </x:c>
      <x:c r="F67" s="4" t="str">
        <x:v>API-001；API-002（每路由独立请求夹具）</x:v>
      </x:c>
      <x:c r="G67" s="4" t="str">
        <x:v>含写操作/生命周期；按具体契约执行</x:v>
      </x:c>
      <x:c r="H67" s="4" t="str">
        <x:v>src/api/ApiRouterRoutes.cc:151</x:v>
      </x:c>
      <x:c r="I67" s="4" t="str">
        <x:v>未执行</x:v>
      </x:c>
      <x:c r="J67" s="12" t="str"/>
    </x:row>
    <x:row r="68" ht="40" customHeight="1">
      <x:c r="A68" s="9" t="str">
        <x:v>APIREF-064</x:v>
      </x:c>
      <x:c r="B68" s="9" t="str">
        <x:v>/gtw/cwai/Camera/OnvifDiscover</x:v>
      </x:c>
      <x:c r="C68" s="9" t="str">
        <x:v>kAuth</x:v>
      </x:c>
      <x:c r="D68" s="9" t="str">
        <x:v>ONVIF</x:v>
      </x:c>
      <x:c r="E68" s="9" t="str">
        <x:v>ONVIF-001、ONVIF-002、ONVIF-003、ONVIF-004、ONVIF-005、ONVIF-006、ONVIF-007、ONVIF-008、ONVIF-009、ONVIF-010、ONVIF-011</x:v>
      </x:c>
      <x:c r="F68" s="9" t="str">
        <x:v>API-001；API-002（每路由独立请求夹具）</x:v>
      </x:c>
      <x:c r="G68" s="9" t="str">
        <x:v>含写操作/生命周期；按具体契约执行</x:v>
      </x:c>
      <x:c r="H68" s="9" t="str">
        <x:v>src/api/ApiRouterRoutes.cc:152</x:v>
      </x:c>
      <x:c r="I68" s="9" t="str">
        <x:v>未执行</x:v>
      </x:c>
      <x:c r="J68" s="12" t="str"/>
    </x:row>
    <x:row r="69" ht="40" customHeight="1">
      <x:c r="A69" s="4" t="str">
        <x:v>APIREF-065</x:v>
      </x:c>
      <x:c r="B69" s="4" t="str">
        <x:v>/gtw/cwai/Camera/OnvifProbe</x:v>
      </x:c>
      <x:c r="C69" s="4" t="str">
        <x:v>kAuth</x:v>
      </x:c>
      <x:c r="D69" s="4" t="str">
        <x:v>ONVIF</x:v>
      </x:c>
      <x:c r="E69" s="4" t="str">
        <x:v>ONVIF-001、ONVIF-002、ONVIF-003、ONVIF-004、ONVIF-005、ONVIF-006、ONVIF-007、ONVIF-008、ONVIF-009、ONVIF-010、ONVIF-011</x:v>
      </x:c>
      <x:c r="F69" s="4" t="str">
        <x:v>API-001；API-002（每路由独立请求夹具）</x:v>
      </x:c>
      <x:c r="G69" s="4" t="str">
        <x:v>只读</x:v>
      </x:c>
      <x:c r="H69" s="4" t="str">
        <x:v>src/api/ApiRouterRoutes.cc:153</x:v>
      </x:c>
      <x:c r="I69" s="4" t="str">
        <x:v>未执行</x:v>
      </x:c>
      <x:c r="J69" s="12" t="str"/>
    </x:row>
    <x:row r="70" ht="40" customHeight="1">
      <x:c r="A70" s="9" t="str">
        <x:v>APIREF-066</x:v>
      </x:c>
      <x:c r="B70" s="9" t="str">
        <x:v>/gtw/cwai/Camera/OnvifGet</x:v>
      </x:c>
      <x:c r="C70" s="9" t="str">
        <x:v>kAuth</x:v>
      </x:c>
      <x:c r="D70" s="9" t="str">
        <x:v>ONVIF</x:v>
      </x:c>
      <x:c r="E70" s="9" t="str">
        <x:v>ONVIF-001、ONVIF-002、ONVIF-003、ONVIF-004、ONVIF-005、ONVIF-006、ONVIF-007、ONVIF-008、ONVIF-009、ONVIF-010、ONVIF-011</x:v>
      </x:c>
      <x:c r="F70" s="9" t="str">
        <x:v>API-001；API-002（每路由独立请求夹具）</x:v>
      </x:c>
      <x:c r="G70" s="9" t="str">
        <x:v>只读</x:v>
      </x:c>
      <x:c r="H70" s="9" t="str">
        <x:v>src/api/ApiRouterRoutes.cc:154</x:v>
      </x:c>
      <x:c r="I70" s="9" t="str">
        <x:v>未执行</x:v>
      </x:c>
      <x:c r="J70" s="12" t="str"/>
    </x:row>
    <x:row r="71" ht="40" customHeight="1">
      <x:c r="A71" s="4" t="str">
        <x:v>APIREF-067</x:v>
      </x:c>
      <x:c r="B71" s="4" t="str">
        <x:v>/gtw/cwai/Camera/OnvifSave</x:v>
      </x:c>
      <x:c r="C71" s="4" t="str">
        <x:v>kAuth</x:v>
      </x:c>
      <x:c r="D71" s="4" t="str">
        <x:v>ONVIF</x:v>
      </x:c>
      <x:c r="E71" s="4" t="str">
        <x:v>ONVIF-001、ONVIF-002、ONVIF-003、ONVIF-004、ONVIF-005、ONVIF-006、ONVIF-007、ONVIF-008、ONVIF-009、ONVIF-010、ONVIF-011</x:v>
      </x:c>
      <x:c r="F71" s="4" t="str">
        <x:v>API-001；API-002（每路由独立请求夹具）</x:v>
      </x:c>
      <x:c r="G71" s="4" t="str">
        <x:v>含写操作/生命周期；按具体契约执行</x:v>
      </x:c>
      <x:c r="H71" s="4" t="str">
        <x:v>src/api/ApiRouterRoutes.cc:155</x:v>
      </x:c>
      <x:c r="I71" s="4" t="str">
        <x:v>未执行</x:v>
      </x:c>
      <x:c r="J71" s="12" t="str"/>
    </x:row>
    <x:row r="72" ht="32" customHeight="1">
      <x:c r="A72" s="9" t="str">
        <x:v>APIREF-068</x:v>
      </x:c>
      <x:c r="B72" s="9" t="str">
        <x:v>/gtw/cwai/Camera/Add</x:v>
      </x:c>
      <x:c r="C72" s="9" t="str">
        <x:v>kAuth</x:v>
      </x:c>
      <x:c r="D72" s="9" t="str">
        <x:v>CAM</x:v>
      </x:c>
      <x:c r="E72" s="9" t="str">
        <x:v>CAM-001、CAM-002、CAM-003、CAM-004、CAM-005、CAM-006、CAM-007、CAM-008、CAM-009、CAM-010、CAM-011、CAM-012</x:v>
      </x:c>
      <x:c r="F72" s="9" t="str">
        <x:v>API-001；API-002（每路由独立请求夹具）</x:v>
      </x:c>
      <x:c r="G72" s="9" t="str">
        <x:v>含写操作/生命周期；按具体契约执行</x:v>
      </x:c>
      <x:c r="H72" s="9" t="str">
        <x:v>src/api/ApiRouterRoutes.cc:157</x:v>
      </x:c>
      <x:c r="I72" s="9" t="str">
        <x:v>未执行</x:v>
      </x:c>
      <x:c r="J72" s="12" t="str"/>
    </x:row>
    <x:row r="73" ht="32" customHeight="1">
      <x:c r="A73" s="4" t="str">
        <x:v>APIREF-069</x:v>
      </x:c>
      <x:c r="B73" s="4" t="str">
        <x:v>/gtw/cwai/Camera/Update</x:v>
      </x:c>
      <x:c r="C73" s="4" t="str">
        <x:v>kAuth</x:v>
      </x:c>
      <x:c r="D73" s="4" t="str">
        <x:v>CAM</x:v>
      </x:c>
      <x:c r="E73" s="4" t="str">
        <x:v>CAM-001、CAM-002、CAM-003、CAM-004、CAM-005、CAM-006、CAM-007、CAM-008、CAM-009、CAM-010、CAM-011、CAM-012</x:v>
      </x:c>
      <x:c r="F73" s="4" t="str">
        <x:v>API-001；API-002（每路由独立请求夹具）</x:v>
      </x:c>
      <x:c r="G73" s="4" t="str">
        <x:v>含写操作/生命周期；按具体契约执行</x:v>
      </x:c>
      <x:c r="H73" s="4" t="str">
        <x:v>src/api/ApiRouterRoutes.cc:158</x:v>
      </x:c>
      <x:c r="I73" s="4" t="str">
        <x:v>未执行</x:v>
      </x:c>
      <x:c r="J73" s="12" t="str"/>
    </x:row>
    <x:row r="74" ht="32" customHeight="1">
      <x:c r="A74" s="9" t="str">
        <x:v>APIREF-070</x:v>
      </x:c>
      <x:c r="B74" s="9" t="str">
        <x:v>/gtw/cwai/Camera/Page</x:v>
      </x:c>
      <x:c r="C74" s="9" t="str">
        <x:v>kAuth</x:v>
      </x:c>
      <x:c r="D74" s="9" t="str">
        <x:v>CAM</x:v>
      </x:c>
      <x:c r="E74" s="9" t="str">
        <x:v>CAM-001、CAM-002、CAM-003、CAM-004、CAM-005、CAM-006、CAM-007、CAM-008、CAM-009、CAM-010、CAM-011、CAM-012</x:v>
      </x:c>
      <x:c r="F74" s="9" t="str">
        <x:v>API-001；API-002（每路由独立请求夹具）</x:v>
      </x:c>
      <x:c r="G74" s="9" t="str">
        <x:v>只读</x:v>
      </x:c>
      <x:c r="H74" s="9" t="str">
        <x:v>src/api/ApiRouterRoutes.cc:159</x:v>
      </x:c>
      <x:c r="I74" s="9" t="str">
        <x:v>未执行</x:v>
      </x:c>
      <x:c r="J74" s="12" t="str"/>
    </x:row>
    <x:row r="75" ht="32" customHeight="1">
      <x:c r="A75" s="4" t="str">
        <x:v>APIREF-071</x:v>
      </x:c>
      <x:c r="B75" s="4" t="str">
        <x:v>/gtw/cwai/Camera/Delete</x:v>
      </x:c>
      <x:c r="C75" s="4" t="str">
        <x:v>kAuth</x:v>
      </x:c>
      <x:c r="D75" s="4" t="str">
        <x:v>CAM</x:v>
      </x:c>
      <x:c r="E75" s="4" t="str">
        <x:v>CAM-001、CAM-002、CAM-003、CAM-004、CAM-005、CAM-006、CAM-007、CAM-008、CAM-009、CAM-010、CAM-011、CAM-012</x:v>
      </x:c>
      <x:c r="F75" s="4" t="str">
        <x:v>API-001；API-002（每路由独立请求夹具）</x:v>
      </x:c>
      <x:c r="G75" s="4" t="str">
        <x:v>含写操作/生命周期；按具体契约执行</x:v>
      </x:c>
      <x:c r="H75" s="4" t="str">
        <x:v>src/api/ApiRouterRoutes.cc:160</x:v>
      </x:c>
      <x:c r="I75" s="4" t="str">
        <x:v>未执行</x:v>
      </x:c>
      <x:c r="J75" s="12" t="str"/>
    </x:row>
    <x:row r="76" ht="32" customHeight="1">
      <x:c r="A76" s="9" t="str">
        <x:v>APIREF-072</x:v>
      </x:c>
      <x:c r="B76" s="9" t="str">
        <x:v>/gtw/cwai/Camera/BatchDelete</x:v>
      </x:c>
      <x:c r="C76" s="9" t="str">
        <x:v>kAuth</x:v>
      </x:c>
      <x:c r="D76" s="9" t="str">
        <x:v>CAM</x:v>
      </x:c>
      <x:c r="E76" s="9" t="str">
        <x:v>CAM-001、CAM-002、CAM-003、CAM-004、CAM-005、CAM-006、CAM-007、CAM-008、CAM-009、CAM-010、CAM-011、CAM-012</x:v>
      </x:c>
      <x:c r="F76" s="9" t="str">
        <x:v>API-001；API-002（每路由独立请求夹具）</x:v>
      </x:c>
      <x:c r="G76" s="9" t="str">
        <x:v>含写操作/生命周期；按具体契约执行</x:v>
      </x:c>
      <x:c r="H76" s="9" t="str">
        <x:v>src/api/ApiRouterRoutes.cc:161</x:v>
      </x:c>
      <x:c r="I76" s="9" t="str">
        <x:v>未执行</x:v>
      </x:c>
      <x:c r="J76" s="12" t="str"/>
    </x:row>
    <x:row r="77" ht="32" customHeight="1">
      <x:c r="A77" s="4" t="str">
        <x:v>APIREF-073</x:v>
      </x:c>
      <x:c r="B77" s="4" t="str">
        <x:v>/gtw/cwai/Camera/AddVideo</x:v>
      </x:c>
      <x:c r="C77" s="4" t="str">
        <x:v>kAuth</x:v>
      </x:c>
      <x:c r="D77" s="4" t="str">
        <x:v>CAM</x:v>
      </x:c>
      <x:c r="E77" s="4" t="str">
        <x:v>CAM-001、CAM-002、CAM-003、CAM-004、CAM-005、CAM-006、CAM-007、CAM-008、CAM-009、CAM-010、CAM-011、CAM-012</x:v>
      </x:c>
      <x:c r="F77" s="4" t="str">
        <x:v>API-001；API-002（每路由独立请求夹具）</x:v>
      </x:c>
      <x:c r="G77" s="4" t="str">
        <x:v>含写操作/生命周期；按具体契约执行</x:v>
      </x:c>
      <x:c r="H77" s="4" t="str">
        <x:v>src/api/ApiRouterRoutes.cc:162</x:v>
      </x:c>
      <x:c r="I77" s="4" t="str">
        <x:v>未执行</x:v>
      </x:c>
      <x:c r="J77" s="12" t="str"/>
    </x:row>
    <x:row r="78" ht="32" customHeight="1">
      <x:c r="A78" s="9" t="str">
        <x:v>APIREF-074</x:v>
      </x:c>
      <x:c r="B78" s="9" t="str">
        <x:v>/gtw/cwai/Camera/GetPicture</x:v>
      </x:c>
      <x:c r="C78" s="9" t="str">
        <x:v>kAuth</x:v>
      </x:c>
      <x:c r="D78" s="9" t="str">
        <x:v>CAM</x:v>
      </x:c>
      <x:c r="E78" s="9" t="str">
        <x:v>CAM-001、CAM-002、CAM-003、CAM-004、CAM-005、CAM-006、CAM-007、CAM-008、CAM-009、CAM-010、CAM-011、CAM-012</x:v>
      </x:c>
      <x:c r="F78" s="9" t="str">
        <x:v>API-001；API-002（每路由独立请求夹具）</x:v>
      </x:c>
      <x:c r="G78" s="9" t="str">
        <x:v>只读</x:v>
      </x:c>
      <x:c r="H78" s="9" t="str">
        <x:v>src/api/ApiRouterRoutes.cc:163</x:v>
      </x:c>
      <x:c r="I78" s="9" t="str">
        <x:v>未执行</x:v>
      </x:c>
      <x:c r="J78" s="12" t="str"/>
    </x:row>
    <x:row r="79" ht="32" customHeight="1">
      <x:c r="A79" s="4" t="str">
        <x:v>APIREF-075</x:v>
      </x:c>
      <x:c r="B79" s="4" t="str">
        <x:v>/gtw/cwai/Camera/QueryUsbCameraList</x:v>
      </x:c>
      <x:c r="C79" s="4" t="str">
        <x:v>kAuth</x:v>
      </x:c>
      <x:c r="D79" s="4" t="str">
        <x:v>CAM</x:v>
      </x:c>
      <x:c r="E79" s="4" t="str">
        <x:v>CAM-001、CAM-002、CAM-003、CAM-004、CAM-005、CAM-006、CAM-007、CAM-008、CAM-009、CAM-010、CAM-011、CAM-012</x:v>
      </x:c>
      <x:c r="F79" s="4" t="str">
        <x:v>API-001；API-002（每路由独立请求夹具）</x:v>
      </x:c>
      <x:c r="G79" s="4" t="str">
        <x:v>只读</x:v>
      </x:c>
      <x:c r="H79" s="4" t="str">
        <x:v>src/api/ApiRouterRoutes.cc:164</x:v>
      </x:c>
      <x:c r="I79" s="4" t="str">
        <x:v>未执行</x:v>
      </x:c>
      <x:c r="J79" s="12" t="str"/>
    </x:row>
    <x:row r="80" ht="40" customHeight="1">
      <x:c r="A80" s="9" t="str">
        <x:v>APIREF-076</x:v>
      </x:c>
      <x:c r="B80" s="9" t="str">
        <x:v>/gtw/cwai/Task/ModifyParam</x:v>
      </x:c>
      <x:c r="C80" s="9" t="str">
        <x:v>kAuth</x:v>
      </x:c>
      <x:c r="D80" s="9" t="str">
        <x:v>TASK</x:v>
      </x:c>
      <x:c r="E80" s="9" t="str">
        <x:v>TASK-001、TASK-002、TASK-003、TASK-004、TASK-005、TASK-006、TASK-007、TASK-008、TASK-009、TASK-010、TASK-011、TASK-012、TASK-013、TASK-014、TASK-015、TASK-016</x:v>
      </x:c>
      <x:c r="F80" s="9" t="str">
        <x:v>API-001；API-002（每路由独立请求夹具）</x:v>
      </x:c>
      <x:c r="G80" s="9" t="str">
        <x:v>含写操作/生命周期；按具体契约执行</x:v>
      </x:c>
      <x:c r="H80" s="9" t="str">
        <x:v>src/api/ApiRouterRoutes.cc:169</x:v>
      </x:c>
      <x:c r="I80" s="9" t="str">
        <x:v>未执行</x:v>
      </x:c>
      <x:c r="J80" s="12" t="str"/>
    </x:row>
    <x:row r="81" ht="40" customHeight="1">
      <x:c r="A81" s="4" t="str">
        <x:v>APIREF-077</x:v>
      </x:c>
      <x:c r="B81" s="4" t="str">
        <x:v>/gtw/cwai/Task/QueryParam</x:v>
      </x:c>
      <x:c r="C81" s="4" t="str">
        <x:v>kAuth</x:v>
      </x:c>
      <x:c r="D81" s="4" t="str">
        <x:v>TASK</x:v>
      </x:c>
      <x:c r="E81" s="4" t="str">
        <x:v>TASK-001、TASK-002、TASK-003、TASK-004、TASK-005、TASK-006、TASK-007、TASK-008、TASK-009、TASK-010、TASK-011、TASK-012、TASK-013、TASK-014、TASK-015、TASK-016</x:v>
      </x:c>
      <x:c r="F81" s="4" t="str">
        <x:v>API-001；API-002（每路由独立请求夹具）</x:v>
      </x:c>
      <x:c r="G81" s="4" t="str">
        <x:v>只读</x:v>
      </x:c>
      <x:c r="H81" s="4" t="str">
        <x:v>src/api/ApiRouterRoutes.cc:170</x:v>
      </x:c>
      <x:c r="I81" s="4" t="str">
        <x:v>未执行</x:v>
      </x:c>
      <x:c r="J81" s="12" t="str"/>
    </x:row>
    <x:row r="82" ht="40" customHeight="1">
      <x:c r="A82" s="9" t="str">
        <x:v>APIREF-078</x:v>
      </x:c>
      <x:c r="B82" s="9" t="str">
        <x:v>/gtw/cwai/Task/ModifyArea</x:v>
      </x:c>
      <x:c r="C82" s="9" t="str">
        <x:v>kAuth</x:v>
      </x:c>
      <x:c r="D82" s="9" t="str">
        <x:v>TASK</x:v>
      </x:c>
      <x:c r="E82" s="9" t="str">
        <x:v>TASK-001、TASK-002、TASK-003、TASK-004、TASK-005、TASK-006、TASK-007、TASK-008、TASK-009、TASK-010、TASK-011、TASK-012、TASK-013、TASK-014、TASK-015、TASK-016</x:v>
      </x:c>
      <x:c r="F82" s="9" t="str">
        <x:v>API-001；API-002（每路由独立请求夹具）</x:v>
      </x:c>
      <x:c r="G82" s="9" t="str">
        <x:v>含写操作/生命周期；按具体契约执行</x:v>
      </x:c>
      <x:c r="H82" s="9" t="str">
        <x:v>src/api/ApiRouterRoutes.cc:171</x:v>
      </x:c>
      <x:c r="I82" s="9" t="str">
        <x:v>未执行</x:v>
      </x:c>
      <x:c r="J82" s="12" t="str"/>
    </x:row>
    <x:row r="83" ht="40" customHeight="1">
      <x:c r="A83" s="4" t="str">
        <x:v>APIREF-079</x:v>
      </x:c>
      <x:c r="B83" s="4" t="str">
        <x:v>/gtw/cwai/Task/QueryArea</x:v>
      </x:c>
      <x:c r="C83" s="4" t="str">
        <x:v>kAuth</x:v>
      </x:c>
      <x:c r="D83" s="4" t="str">
        <x:v>TASK</x:v>
      </x:c>
      <x:c r="E83" s="4" t="str">
        <x:v>TASK-001、TASK-002、TASK-003、TASK-004、TASK-005、TASK-006、TASK-007、TASK-008、TASK-009、TASK-010、TASK-011、TASK-012、TASK-013、TASK-014、TASK-015、TASK-016</x:v>
      </x:c>
      <x:c r="F83" s="4" t="str">
        <x:v>API-001；API-002（每路由独立请求夹具）</x:v>
      </x:c>
      <x:c r="G83" s="4" t="str">
        <x:v>只读</x:v>
      </x:c>
      <x:c r="H83" s="4" t="str">
        <x:v>src/api/ApiRouterRoutes.cc:172</x:v>
      </x:c>
      <x:c r="I83" s="4" t="str">
        <x:v>未执行</x:v>
      </x:c>
      <x:c r="J83" s="12" t="str"/>
    </x:row>
    <x:row r="84" ht="40" customHeight="1">
      <x:c r="A84" s="9" t="str">
        <x:v>APIREF-080</x:v>
      </x:c>
      <x:c r="B84" s="9" t="str">
        <x:v>/gtw/cwai/Task/ModifyStrategy</x:v>
      </x:c>
      <x:c r="C84" s="9" t="str">
        <x:v>kAuth</x:v>
      </x:c>
      <x:c r="D84" s="9" t="str">
        <x:v>TASK</x:v>
      </x:c>
      <x:c r="E84" s="9" t="str">
        <x:v>TASK-001、TASK-002、TASK-003、TASK-004、TASK-005、TASK-006、TASK-007、TASK-008、TASK-009、TASK-010、TASK-011、TASK-012、TASK-013、TASK-014、TASK-015、TASK-016</x:v>
      </x:c>
      <x:c r="F84" s="9" t="str">
        <x:v>API-001；API-002（每路由独立请求夹具）</x:v>
      </x:c>
      <x:c r="G84" s="9" t="str">
        <x:v>含写操作/生命周期；按具体契约执行</x:v>
      </x:c>
      <x:c r="H84" s="9" t="str">
        <x:v>src/api/ApiRouterRoutes.cc:173</x:v>
      </x:c>
      <x:c r="I84" s="9" t="str">
        <x:v>未执行</x:v>
      </x:c>
      <x:c r="J84" s="12" t="str"/>
    </x:row>
    <x:row r="85" ht="40" customHeight="1">
      <x:c r="A85" s="4" t="str">
        <x:v>APIREF-081</x:v>
      </x:c>
      <x:c r="B85" s="4" t="str">
        <x:v>/gtw/cwai/Task/QueryStrategy</x:v>
      </x:c>
      <x:c r="C85" s="4" t="str">
        <x:v>kAuth</x:v>
      </x:c>
      <x:c r="D85" s="4" t="str">
        <x:v>TASK</x:v>
      </x:c>
      <x:c r="E85" s="4" t="str">
        <x:v>TASK-001、TASK-002、TASK-003、TASK-004、TASK-005、TASK-006、TASK-007、TASK-008、TASK-009、TASK-010、TASK-011、TASK-012、TASK-013、TASK-014、TASK-015、TASK-016</x:v>
      </x:c>
      <x:c r="F85" s="4" t="str">
        <x:v>API-001；API-002（每路由独立请求夹具）</x:v>
      </x:c>
      <x:c r="G85" s="4" t="str">
        <x:v>只读</x:v>
      </x:c>
      <x:c r="H85" s="4" t="str">
        <x:v>src/api/ApiRouterRoutes.cc:174</x:v>
      </x:c>
      <x:c r="I85" s="4" t="str">
        <x:v>未执行</x:v>
      </x:c>
      <x:c r="J85" s="12" t="str"/>
    </x:row>
    <x:row r="86" ht="40" customHeight="1">
      <x:c r="A86" s="9" t="str">
        <x:v>APIREF-082</x:v>
      </x:c>
      <x:c r="B86" s="9" t="str">
        <x:v>/gtw/cwai/Task/SwitchTask</x:v>
      </x:c>
      <x:c r="C86" s="9" t="str">
        <x:v>kAuth</x:v>
      </x:c>
      <x:c r="D86" s="9" t="str">
        <x:v>TASK</x:v>
      </x:c>
      <x:c r="E86" s="9" t="str">
        <x:v>TASK-001、TASK-002、TASK-003、TASK-004、TASK-005、TASK-006、TASK-007、TASK-008、TASK-009、TASK-010、TASK-011、TASK-012、TASK-013、TASK-014、TASK-015、TASK-016</x:v>
      </x:c>
      <x:c r="F86" s="9" t="str">
        <x:v>API-001；API-002（每路由独立请求夹具）</x:v>
      </x:c>
      <x:c r="G86" s="9" t="str">
        <x:v>含写操作/生命周期；按具体契约执行</x:v>
      </x:c>
      <x:c r="H86" s="9" t="str">
        <x:v>src/api/ApiRouterRoutes.cc:175</x:v>
      </x:c>
      <x:c r="I86" s="9" t="str">
        <x:v>未执行</x:v>
      </x:c>
      <x:c r="J86" s="12" t="str"/>
    </x:row>
    <x:row r="87" ht="40" customHeight="1">
      <x:c r="A87" s="4" t="str">
        <x:v>APIREF-083</x:v>
      </x:c>
      <x:c r="B87" s="4" t="str">
        <x:v>/gtw/cwai/Task/BatchSwitchTask</x:v>
      </x:c>
      <x:c r="C87" s="4" t="str">
        <x:v>kAuth</x:v>
      </x:c>
      <x:c r="D87" s="4" t="str">
        <x:v>TASK</x:v>
      </x:c>
      <x:c r="E87" s="4" t="str">
        <x:v>TASK-001、TASK-002、TASK-003、TASK-004、TASK-005、TASK-006、TASK-007、TASK-008、TASK-009、TASK-010、TASK-011、TASK-012、TASK-013、TASK-014、TASK-015、TASK-016</x:v>
      </x:c>
      <x:c r="F87" s="4" t="str">
        <x:v>API-001；API-002（每路由独立请求夹具）</x:v>
      </x:c>
      <x:c r="G87" s="4" t="str">
        <x:v>含写操作/生命周期；按具体契约执行</x:v>
      </x:c>
      <x:c r="H87" s="4" t="str">
        <x:v>src/api/ApiRouterRoutes.cc:176</x:v>
      </x:c>
      <x:c r="I87" s="4" t="str">
        <x:v>未执行</x:v>
      </x:c>
      <x:c r="J87" s="12" t="str"/>
    </x:row>
    <x:row r="88" ht="40" customHeight="1">
      <x:c r="A88" s="9" t="str">
        <x:v>APIREF-084</x:v>
      </x:c>
      <x:c r="B88" s="9" t="str">
        <x:v>/gtw/cwai/Task/QuerySwitch</x:v>
      </x:c>
      <x:c r="C88" s="9" t="str">
        <x:v>kAuth</x:v>
      </x:c>
      <x:c r="D88" s="9" t="str">
        <x:v>TASK</x:v>
      </x:c>
      <x:c r="E88" s="9" t="str">
        <x:v>TASK-001、TASK-002、TASK-003、TASK-004、TASK-005、TASK-006、TASK-007、TASK-008、TASK-009、TASK-010、TASK-011、TASK-012、TASK-013、TASK-014、TASK-015、TASK-016</x:v>
      </x:c>
      <x:c r="F88" s="9" t="str">
        <x:v>API-001；API-002（每路由独立请求夹具）</x:v>
      </x:c>
      <x:c r="G88" s="9" t="str">
        <x:v>只读</x:v>
      </x:c>
      <x:c r="H88" s="9" t="str">
        <x:v>src/api/ApiRouterRoutes.cc:177</x:v>
      </x:c>
      <x:c r="I88" s="9" t="str">
        <x:v>未执行</x:v>
      </x:c>
      <x:c r="J88" s="12" t="str"/>
    </x:row>
    <x:row r="89" ht="40" customHeight="1">
      <x:c r="A89" s="4" t="str">
        <x:v>APIREF-085</x:v>
      </x:c>
      <x:c r="B89" s="4" t="str">
        <x:v>/gtw/cwai/Task/SaveOrUpdate</x:v>
      </x:c>
      <x:c r="C89" s="4" t="str">
        <x:v>kAuth</x:v>
      </x:c>
      <x:c r="D89" s="4" t="str">
        <x:v>TASK</x:v>
      </x:c>
      <x:c r="E89" s="4" t="str">
        <x:v>TASK-001、TASK-002、TASK-003、TASK-004、TASK-005、TASK-006、TASK-007、TASK-008、TASK-009、TASK-010、TASK-011、TASK-012、TASK-013、TASK-014、TASK-015、TASK-016</x:v>
      </x:c>
      <x:c r="F89" s="4" t="str">
        <x:v>API-001；API-002（每路由独立请求夹具）</x:v>
      </x:c>
      <x:c r="G89" s="4" t="str">
        <x:v>含写操作/生命周期；按具体契约执行</x:v>
      </x:c>
      <x:c r="H89" s="4" t="str">
        <x:v>src/api/ApiRouterRoutes.cc:178</x:v>
      </x:c>
      <x:c r="I89" s="4" t="str">
        <x:v>未执行</x:v>
      </x:c>
      <x:c r="J89" s="12" t="str"/>
    </x:row>
    <x:row r="90" ht="40" customHeight="1">
      <x:c r="A90" s="9" t="str">
        <x:v>APIREF-086</x:v>
      </x:c>
      <x:c r="B90" s="9" t="str">
        <x:v>/gtw/cwai/Task/SelectConfigByAlgorithmId</x:v>
      </x:c>
      <x:c r="C90" s="9" t="str">
        <x:v>kAuth</x:v>
      </x:c>
      <x:c r="D90" s="9" t="str">
        <x:v>TASK</x:v>
      </x:c>
      <x:c r="E90" s="9" t="str">
        <x:v>TASK-001、TASK-002、TASK-003、TASK-004、TASK-005、TASK-006、TASK-007、TASK-008、TASK-009、TASK-010、TASK-011、TASK-012、TASK-013、TASK-014、TASK-015、TASK-016</x:v>
      </x:c>
      <x:c r="F90" s="9" t="str">
        <x:v>API-001；API-002（每路由独立请求夹具）</x:v>
      </x:c>
      <x:c r="G90" s="9" t="str">
        <x:v>含写操作/生命周期；按具体契约执行</x:v>
      </x:c>
      <x:c r="H90" s="9" t="str">
        <x:v>src/api/ApiRouterRoutes.cc:179</x:v>
      </x:c>
      <x:c r="I90" s="9" t="str">
        <x:v>未执行</x:v>
      </x:c>
      <x:c r="J90" s="12" t="str"/>
    </x:row>
    <x:row r="91" ht="40" customHeight="1">
      <x:c r="A91" s="4" t="str">
        <x:v>APIREF-087</x:v>
      </x:c>
      <x:c r="B91" s="4" t="str">
        <x:v>/gtw/cwai/Task/SelectAllAlgorithmInfo</x:v>
      </x:c>
      <x:c r="C91" s="4" t="str">
        <x:v>kAuth</x:v>
      </x:c>
      <x:c r="D91" s="4" t="str">
        <x:v>TASK</x:v>
      </x:c>
      <x:c r="E91" s="4" t="str">
        <x:v>TASK-001、TASK-002、TASK-003、TASK-004、TASK-005、TASK-006、TASK-007、TASK-008、TASK-009、TASK-010、TASK-011、TASK-012、TASK-013、TASK-014、TASK-015、TASK-016</x:v>
      </x:c>
      <x:c r="F91" s="4" t="str">
        <x:v>API-001；API-002（每路由独立请求夹具）</x:v>
      </x:c>
      <x:c r="G91" s="4" t="str">
        <x:v>只读</x:v>
      </x:c>
      <x:c r="H91" s="4" t="str">
        <x:v>src/api/ApiRouterRoutes.cc:180</x:v>
      </x:c>
      <x:c r="I91" s="4" t="str">
        <x:v>未执行</x:v>
      </x:c>
      <x:c r="J91" s="12" t="str"/>
    </x:row>
    <x:row r="92" ht="40" customHeight="1">
      <x:c r="A92" s="9" t="str">
        <x:v>APIREF-088</x:v>
      </x:c>
      <x:c r="B92" s="9" t="str">
        <x:v>/gtw/cwai/Task/ListChannel</x:v>
      </x:c>
      <x:c r="C92" s="9" t="str">
        <x:v>kAuth</x:v>
      </x:c>
      <x:c r="D92" s="9" t="str">
        <x:v>TASK</x:v>
      </x:c>
      <x:c r="E92" s="9" t="str">
        <x:v>TASK-001、TASK-002、TASK-003、TASK-004、TASK-005、TASK-006、TASK-007、TASK-008、TASK-009、TASK-010、TASK-011、TASK-012、TASK-013、TASK-014、TASK-015、TASK-016</x:v>
      </x:c>
      <x:c r="F92" s="9" t="str">
        <x:v>API-001；API-002（每路由独立请求夹具）</x:v>
      </x:c>
      <x:c r="G92" s="9" t="str">
        <x:v>只读</x:v>
      </x:c>
      <x:c r="H92" s="9" t="str">
        <x:v>src/api/ApiRouterRoutes.cc:181</x:v>
      </x:c>
      <x:c r="I92" s="9" t="str">
        <x:v>未执行</x:v>
      </x:c>
      <x:c r="J92" s="12" t="str"/>
    </x:row>
    <x:row r="93" ht="40" customHeight="1">
      <x:c r="A93" s="4" t="str">
        <x:v>APIREF-089</x:v>
      </x:c>
      <x:c r="B93" s="4" t="str">
        <x:v>/gtw/cwai/Task/ApplyParamsBatch</x:v>
      </x:c>
      <x:c r="C93" s="4" t="str">
        <x:v>kAuth</x:v>
      </x:c>
      <x:c r="D93" s="4" t="str">
        <x:v>TASK</x:v>
      </x:c>
      <x:c r="E93" s="4" t="str">
        <x:v>TASK-001、TASK-002、TASK-003、TASK-004、TASK-005、TASK-006、TASK-007、TASK-008、TASK-009、TASK-010、TASK-011、TASK-012、TASK-013、TASK-014、TASK-015、TASK-016</x:v>
      </x:c>
      <x:c r="F93" s="4" t="str">
        <x:v>API-001；API-002（每路由独立请求夹具）</x:v>
      </x:c>
      <x:c r="G93" s="4" t="str">
        <x:v>含写操作/生命周期；按具体契约执行</x:v>
      </x:c>
      <x:c r="H93" s="4" t="str">
        <x:v>src/api/ApiRouterRoutes.cc:182</x:v>
      </x:c>
      <x:c r="I93" s="4" t="str">
        <x:v>未执行</x:v>
      </x:c>
      <x:c r="J93" s="12" t="str"/>
    </x:row>
    <x:row r="94" ht="40" customHeight="1">
      <x:c r="A94" s="9" t="str">
        <x:v>APIREF-090</x:v>
      </x:c>
      <x:c r="B94" s="9" t="str">
        <x:v>/gtw/cwai/Task/Delete</x:v>
      </x:c>
      <x:c r="C94" s="9" t="str">
        <x:v>kAuth</x:v>
      </x:c>
      <x:c r="D94" s="9" t="str">
        <x:v>TASK</x:v>
      </x:c>
      <x:c r="E94" s="9" t="str">
        <x:v>TASK-001、TASK-002、TASK-003、TASK-004、TASK-005、TASK-006、TASK-007、TASK-008、TASK-009、TASK-010、TASK-011、TASK-012、TASK-013、TASK-014、TASK-015、TASK-016</x:v>
      </x:c>
      <x:c r="F94" s="9" t="str">
        <x:v>API-001；API-002（每路由独立请求夹具）</x:v>
      </x:c>
      <x:c r="G94" s="9" t="str">
        <x:v>含写操作/生命周期；按具体契约执行</x:v>
      </x:c>
      <x:c r="H94" s="9" t="str">
        <x:v>src/api/ApiRouterRoutes.cc:183</x:v>
      </x:c>
      <x:c r="I94" s="9" t="str">
        <x:v>未执行</x:v>
      </x:c>
      <x:c r="J94" s="12" t="str"/>
    </x:row>
    <x:row r="95" ht="40" customHeight="1">
      <x:c r="A95" s="4" t="str">
        <x:v>APIREF-091</x:v>
      </x:c>
      <x:c r="B95" s="4" t="str">
        <x:v>/gtw/cwai/Task/BatchDelete</x:v>
      </x:c>
      <x:c r="C95" s="4" t="str">
        <x:v>kAuth</x:v>
      </x:c>
      <x:c r="D95" s="4" t="str">
        <x:v>TASK</x:v>
      </x:c>
      <x:c r="E95" s="4" t="str">
        <x:v>TASK-001、TASK-002、TASK-003、TASK-004、TASK-005、TASK-006、TASK-007、TASK-008、TASK-009、TASK-010、TASK-011、TASK-012、TASK-013、TASK-014、TASK-015、TASK-016</x:v>
      </x:c>
      <x:c r="F95" s="4" t="str">
        <x:v>API-001；API-002（每路由独立请求夹具）</x:v>
      </x:c>
      <x:c r="G95" s="4" t="str">
        <x:v>含写操作/生命周期；按具体契约执行</x:v>
      </x:c>
      <x:c r="H95" s="4" t="str">
        <x:v>src/api/ApiRouterRoutes.cc:184</x:v>
      </x:c>
      <x:c r="I95" s="4" t="str">
        <x:v>未执行</x:v>
      </x:c>
      <x:c r="J95" s="12" t="str"/>
    </x:row>
    <x:row r="96" ht="40" customHeight="1">
      <x:c r="A96" s="9" t="str">
        <x:v>APIREF-092</x:v>
      </x:c>
      <x:c r="B96" s="9" t="str">
        <x:v>/gtw/cwai/Task/RunningDetail</x:v>
      </x:c>
      <x:c r="C96" s="9" t="str">
        <x:v>kAuth</x:v>
      </x:c>
      <x:c r="D96" s="9" t="str">
        <x:v>TASK</x:v>
      </x:c>
      <x:c r="E96" s="9" t="str">
        <x:v>TASK-001、TASK-002、TASK-003、TASK-004、TASK-005、TASK-006、TASK-007、TASK-008、TASK-009、TASK-010、TASK-011、TASK-012、TASK-013、TASK-014、TASK-015、TASK-016</x:v>
      </x:c>
      <x:c r="F96" s="9" t="str">
        <x:v>API-001；API-002（每路由独立请求夹具）</x:v>
      </x:c>
      <x:c r="G96" s="9" t="str">
        <x:v>只读</x:v>
      </x:c>
      <x:c r="H96" s="9" t="str">
        <x:v>src/api/ApiRouterRoutes.cc:185</x:v>
      </x:c>
      <x:c r="I96" s="9" t="str">
        <x:v>未执行</x:v>
      </x:c>
      <x:c r="J96" s="12" t="str"/>
    </x:row>
    <x:row r="97" ht="32" customHeight="1">
      <x:c r="A97" s="4" t="str">
        <x:v>APIREF-093</x:v>
      </x:c>
      <x:c r="B97" s="4" t="str">
        <x:v>/gtw/cwai/System/QueryDeviceInfo</x:v>
      </x:c>
      <x:c r="C97" s="4" t="str">
        <x:v>kAuth</x:v>
      </x:c>
      <x:c r="D97" s="4" t="str">
        <x:v>SYS</x:v>
      </x:c>
      <x:c r="E97" s="4" t="str">
        <x:v>SYS-001、SYS-002、SYS-003、SYS-004、SYS-005、SYS-006、SYS-007、SYS-008、SYS-009、SYS-010</x:v>
      </x:c>
      <x:c r="F97" s="4" t="str">
        <x:v>API-001；API-002（每路由独立请求夹具）</x:v>
      </x:c>
      <x:c r="G97" s="4" t="str">
        <x:v>只读</x:v>
      </x:c>
      <x:c r="H97" s="4" t="str">
        <x:v>src/api/ApiRouterRoutes.cc:190</x:v>
      </x:c>
      <x:c r="I97" s="4" t="str">
        <x:v>未执行</x:v>
      </x:c>
      <x:c r="J97" s="12" t="str"/>
    </x:row>
    <x:row r="98" ht="32" customHeight="1">
      <x:c r="A98" s="9" t="str">
        <x:v>APIREF-094</x:v>
      </x:c>
      <x:c r="B98" s="9" t="str">
        <x:v>/gtw/cwai/System/QueryHardwareResource</x:v>
      </x:c>
      <x:c r="C98" s="9" t="str">
        <x:v>kAuth</x:v>
      </x:c>
      <x:c r="D98" s="9" t="str">
        <x:v>SYS</x:v>
      </x:c>
      <x:c r="E98" s="9" t="str">
        <x:v>SYS-001、SYS-002、SYS-003、SYS-004、SYS-005、SYS-006、SYS-007、SYS-008、SYS-009、SYS-010</x:v>
      </x:c>
      <x:c r="F98" s="9" t="str">
        <x:v>API-001；API-002（每路由独立请求夹具）</x:v>
      </x:c>
      <x:c r="G98" s="9" t="str">
        <x:v>只读</x:v>
      </x:c>
      <x:c r="H98" s="9" t="str">
        <x:v>src/api/ApiRouterRoutes.cc:191</x:v>
      </x:c>
      <x:c r="I98" s="9" t="str">
        <x:v>未执行</x:v>
      </x:c>
      <x:c r="J98" s="12" t="str"/>
    </x:row>
    <x:row r="99" ht="32" customHeight="1">
      <x:c r="A99" s="4" t="str">
        <x:v>APIREF-095</x:v>
      </x:c>
      <x:c r="B99" s="4" t="str">
        <x:v>/gtw/cwai/System/QueryTime</x:v>
      </x:c>
      <x:c r="C99" s="4" t="str">
        <x:v>kAuth</x:v>
      </x:c>
      <x:c r="D99" s="4" t="str">
        <x:v>SYS</x:v>
      </x:c>
      <x:c r="E99" s="4" t="str">
        <x:v>SYS-001、SYS-002、SYS-003、SYS-004、SYS-005、SYS-006、SYS-007、SYS-008、SYS-009、SYS-010</x:v>
      </x:c>
      <x:c r="F99" s="4" t="str">
        <x:v>API-001；API-002（每路由独立请求夹具）</x:v>
      </x:c>
      <x:c r="G99" s="4" t="str">
        <x:v>只读</x:v>
      </x:c>
      <x:c r="H99" s="4" t="str">
        <x:v>src/api/ApiRouterRoutes.cc:192</x:v>
      </x:c>
      <x:c r="I99" s="4" t="str">
        <x:v>未执行</x:v>
      </x:c>
      <x:c r="J99" s="12" t="str"/>
    </x:row>
    <x:row r="100" ht="32" customHeight="1">
      <x:c r="A100" s="9" t="str">
        <x:v>APIREF-096</x:v>
      </x:c>
      <x:c r="B100" s="9" t="str">
        <x:v>/gtw/cwai/System/NTPDate</x:v>
      </x:c>
      <x:c r="C100" s="9" t="str">
        <x:v>kAuth</x:v>
      </x:c>
      <x:c r="D100" s="9" t="str">
        <x:v>SYS</x:v>
      </x:c>
      <x:c r="E100" s="9" t="str">
        <x:v>SYS-001、SYS-002、SYS-003、SYS-004、SYS-005、SYS-006、SYS-007、SYS-008、SYS-009、SYS-010</x:v>
      </x:c>
      <x:c r="F100" s="9" t="str">
        <x:v>API-001；API-002（每路由独立请求夹具）</x:v>
      </x:c>
      <x:c r="G100" s="9" t="str">
        <x:v>含写操作/生命周期；按具体契约执行</x:v>
      </x:c>
      <x:c r="H100" s="9" t="str">
        <x:v>src/api/ApiRouterRoutes.cc:193</x:v>
      </x:c>
      <x:c r="I100" s="9" t="str">
        <x:v>未执行</x:v>
      </x:c>
      <x:c r="J100" s="12" t="str"/>
    </x:row>
    <x:row r="101" ht="32" customHeight="1">
      <x:c r="A101" s="4" t="str">
        <x:v>APIREF-097</x:v>
      </x:c>
      <x:c r="B101" s="4" t="str">
        <x:v>/gtw/cwai/System/ModifyTime</x:v>
      </x:c>
      <x:c r="C101" s="4" t="str">
        <x:v>kAuth</x:v>
      </x:c>
      <x:c r="D101" s="4" t="str">
        <x:v>SYS</x:v>
      </x:c>
      <x:c r="E101" s="4" t="str">
        <x:v>SYS-001、SYS-002、SYS-003、SYS-004、SYS-005、SYS-006、SYS-007、SYS-008、SYS-009、SYS-010</x:v>
      </x:c>
      <x:c r="F101" s="4" t="str">
        <x:v>API-001；API-002（每路由独立请求夹具）</x:v>
      </x:c>
      <x:c r="G101" s="4" t="str">
        <x:v>含写操作/生命周期；按具体契约执行</x:v>
      </x:c>
      <x:c r="H101" s="4" t="str">
        <x:v>src/api/ApiRouterRoutes.cc:194</x:v>
      </x:c>
      <x:c r="I101" s="4" t="str">
        <x:v>未执行</x:v>
      </x:c>
      <x:c r="J101" s="12" t="str"/>
    </x:row>
    <x:row r="102" ht="32" customHeight="1">
      <x:c r="A102" s="9" t="str">
        <x:v>APIREF-098</x:v>
      </x:c>
      <x:c r="B102" s="9" t="str">
        <x:v>/gtw/cwai/System/ResetPictureQuality</x:v>
      </x:c>
      <x:c r="C102" s="9" t="str">
        <x:v>kAuth</x:v>
      </x:c>
      <x:c r="D102" s="9" t="str">
        <x:v>SYS</x:v>
      </x:c>
      <x:c r="E102" s="9" t="str">
        <x:v>SYS-001、SYS-002、SYS-003、SYS-004、SYS-005、SYS-006、SYS-007、SYS-008、SYS-009、SYS-010</x:v>
      </x:c>
      <x:c r="F102" s="9" t="str">
        <x:v>API-001；API-002（每路由独立请求夹具）</x:v>
      </x:c>
      <x:c r="G102" s="9" t="str">
        <x:v>含写操作/生命周期；按具体契约执行</x:v>
      </x:c>
      <x:c r="H102" s="9" t="str">
        <x:v>src/api/ApiRouterRoutes.cc:195</x:v>
      </x:c>
      <x:c r="I102" s="9" t="str">
        <x:v>未执行</x:v>
      </x:c>
      <x:c r="J102" s="12" t="str"/>
    </x:row>
    <x:row r="103" ht="32" customHeight="1">
      <x:c r="A103" s="4" t="str">
        <x:v>APIREF-099</x:v>
      </x:c>
      <x:c r="B103" s="4" t="str">
        <x:v>/gtw/cwai/System/SetPictureQuality</x:v>
      </x:c>
      <x:c r="C103" s="4" t="str">
        <x:v>kAuth</x:v>
      </x:c>
      <x:c r="D103" s="4" t="str">
        <x:v>SYS</x:v>
      </x:c>
      <x:c r="E103" s="4" t="str">
        <x:v>SYS-001、SYS-002、SYS-003、SYS-004、SYS-005、SYS-006、SYS-007、SYS-008、SYS-009、SYS-010</x:v>
      </x:c>
      <x:c r="F103" s="4" t="str">
        <x:v>API-001；API-002（每路由独立请求夹具）</x:v>
      </x:c>
      <x:c r="G103" s="4" t="str">
        <x:v>含写操作/生命周期；按具体契约执行</x:v>
      </x:c>
      <x:c r="H103" s="4" t="str">
        <x:v>src/api/ApiRouterRoutes.cc:196</x:v>
      </x:c>
      <x:c r="I103" s="4" t="str">
        <x:v>未执行</x:v>
      </x:c>
      <x:c r="J103" s="12" t="str"/>
    </x:row>
    <x:row r="104" ht="32" customHeight="1">
      <x:c r="A104" s="9" t="str">
        <x:v>APIREF-100</x:v>
      </x:c>
      <x:c r="B104" s="9" t="str">
        <x:v>/gtw/cwai/System/QueryPictureQuality</x:v>
      </x:c>
      <x:c r="C104" s="9" t="str">
        <x:v>kAuth</x:v>
      </x:c>
      <x:c r="D104" s="9" t="str">
        <x:v>SYS</x:v>
      </x:c>
      <x:c r="E104" s="9" t="str">
        <x:v>SYS-001、SYS-002、SYS-003、SYS-004、SYS-005、SYS-006、SYS-007、SYS-008、SYS-009、SYS-010</x:v>
      </x:c>
      <x:c r="F104" s="9" t="str">
        <x:v>API-001；API-002（每路由独立请求夹具）</x:v>
      </x:c>
      <x:c r="G104" s="9" t="str">
        <x:v>只读</x:v>
      </x:c>
      <x:c r="H104" s="9" t="str">
        <x:v>src/api/ApiRouterRoutes.cc:197</x:v>
      </x:c>
      <x:c r="I104" s="9" t="str">
        <x:v>未执行</x:v>
      </x:c>
      <x:c r="J104" s="12" t="str"/>
    </x:row>
    <x:row r="105" ht="32" customHeight="1">
      <x:c r="A105" s="4" t="str">
        <x:v>APIREF-101</x:v>
      </x:c>
      <x:c r="B105" s="4" t="str">
        <x:v>/gtw/cwai/System/ResetAlarmVideoDuration</x:v>
      </x:c>
      <x:c r="C105" s="4" t="str">
        <x:v>kAuth</x:v>
      </x:c>
      <x:c r="D105" s="4" t="str">
        <x:v>SYS</x:v>
      </x:c>
      <x:c r="E105" s="4" t="str">
        <x:v>SYS-001、SYS-002、SYS-003、SYS-004、SYS-005、SYS-006、SYS-007、SYS-008、SYS-009、SYS-010</x:v>
      </x:c>
      <x:c r="F105" s="4" t="str">
        <x:v>API-001；API-002（每路由独立请求夹具）</x:v>
      </x:c>
      <x:c r="G105" s="4" t="str">
        <x:v>含写操作/生命周期；按具体契约执行</x:v>
      </x:c>
      <x:c r="H105" s="4" t="str">
        <x:v>src/api/ApiRouterRoutes.cc:198</x:v>
      </x:c>
      <x:c r="I105" s="4" t="str">
        <x:v>未执行</x:v>
      </x:c>
      <x:c r="J105" s="12" t="str"/>
    </x:row>
    <x:row r="106" ht="32" customHeight="1">
      <x:c r="A106" s="9" t="str">
        <x:v>APIREF-102</x:v>
      </x:c>
      <x:c r="B106" s="9" t="str">
        <x:v>/gtw/cwai/System/SetAlarmVideoDuration</x:v>
      </x:c>
      <x:c r="C106" s="9" t="str">
        <x:v>kAuth</x:v>
      </x:c>
      <x:c r="D106" s="9" t="str">
        <x:v>SYS</x:v>
      </x:c>
      <x:c r="E106" s="9" t="str">
        <x:v>SYS-001、SYS-002、SYS-003、SYS-004、SYS-005、SYS-006、SYS-007、SYS-008、SYS-009、SYS-010</x:v>
      </x:c>
      <x:c r="F106" s="9" t="str">
        <x:v>API-001；API-002（每路由独立请求夹具）</x:v>
      </x:c>
      <x:c r="G106" s="9" t="str">
        <x:v>含写操作/生命周期；按具体契约执行</x:v>
      </x:c>
      <x:c r="H106" s="9" t="str">
        <x:v>src/api/ApiRouterRoutes.cc:199</x:v>
      </x:c>
      <x:c r="I106" s="9" t="str">
        <x:v>未执行</x:v>
      </x:c>
      <x:c r="J106" s="12" t="str"/>
    </x:row>
    <x:row r="107" ht="32" customHeight="1">
      <x:c r="A107" s="4" t="str">
        <x:v>APIREF-103</x:v>
      </x:c>
      <x:c r="B107" s="4" t="str">
        <x:v>/gtw/cwai/System/QueryAlarmVideoDuration</x:v>
      </x:c>
      <x:c r="C107" s="4" t="str">
        <x:v>kAuth</x:v>
      </x:c>
      <x:c r="D107" s="4" t="str">
        <x:v>SYS</x:v>
      </x:c>
      <x:c r="E107" s="4" t="str">
        <x:v>SYS-001、SYS-002、SYS-003、SYS-004、SYS-005、SYS-006、SYS-007、SYS-008、SYS-009、SYS-010</x:v>
      </x:c>
      <x:c r="F107" s="4" t="str">
        <x:v>API-001；API-002（每路由独立请求夹具）</x:v>
      </x:c>
      <x:c r="G107" s="4" t="str">
        <x:v>只读</x:v>
      </x:c>
      <x:c r="H107" s="4" t="str">
        <x:v>src/api/ApiRouterRoutes.cc:200</x:v>
      </x:c>
      <x:c r="I107" s="4" t="str">
        <x:v>未执行</x:v>
      </x:c>
      <x:c r="J107" s="12" t="str"/>
    </x:row>
    <x:row r="108" ht="32" customHeight="1">
      <x:c r="A108" s="9" t="str">
        <x:v>APIREF-104</x:v>
      </x:c>
      <x:c r="B108" s="9" t="str">
        <x:v>/gtw/cwai/System/ResetDevRestartParam</x:v>
      </x:c>
      <x:c r="C108" s="9" t="str">
        <x:v>kAuth</x:v>
      </x:c>
      <x:c r="D108" s="9" t="str">
        <x:v>SYS</x:v>
      </x:c>
      <x:c r="E108" s="9" t="str">
        <x:v>SYS-001、SYS-002、SYS-003、SYS-004、SYS-005、SYS-006、SYS-007、SYS-008、SYS-009、SYS-010</x:v>
      </x:c>
      <x:c r="F108" s="9" t="str">
        <x:v>API-001；API-002（每路由独立请求夹具）</x:v>
      </x:c>
      <x:c r="G108" s="9" t="str">
        <x:v>含写操作/生命周期；按具体契约执行</x:v>
      </x:c>
      <x:c r="H108" s="9" t="str">
        <x:v>src/api/ApiRouterRoutes.cc:201</x:v>
      </x:c>
      <x:c r="I108" s="9" t="str">
        <x:v>未执行</x:v>
      </x:c>
      <x:c r="J108" s="12" t="str"/>
    </x:row>
    <x:row r="109" ht="32" customHeight="1">
      <x:c r="A109" s="4" t="str">
        <x:v>APIREF-105</x:v>
      </x:c>
      <x:c r="B109" s="4" t="str">
        <x:v>/gtw/cwai/System/ModifyDevRestartParam</x:v>
      </x:c>
      <x:c r="C109" s="4" t="str">
        <x:v>kAuth</x:v>
      </x:c>
      <x:c r="D109" s="4" t="str">
        <x:v>SYS</x:v>
      </x:c>
      <x:c r="E109" s="4" t="str">
        <x:v>SYS-001、SYS-002、SYS-003、SYS-004、SYS-005、SYS-006、SYS-007、SYS-008、SYS-009、SYS-010</x:v>
      </x:c>
      <x:c r="F109" s="4" t="str">
        <x:v>API-001；API-002（每路由独立请求夹具）</x:v>
      </x:c>
      <x:c r="G109" s="4" t="str">
        <x:v>含写操作/生命周期；按具体契约执行</x:v>
      </x:c>
      <x:c r="H109" s="4" t="str">
        <x:v>src/api/ApiRouterRoutes.cc:202</x:v>
      </x:c>
      <x:c r="I109" s="4" t="str">
        <x:v>未执行</x:v>
      </x:c>
      <x:c r="J109" s="12" t="str"/>
    </x:row>
    <x:row r="110" ht="32" customHeight="1">
      <x:c r="A110" s="9" t="str">
        <x:v>APIREF-106</x:v>
      </x:c>
      <x:c r="B110" s="9" t="str">
        <x:v>/gtw/cwai/System/QueryDevRestartParam</x:v>
      </x:c>
      <x:c r="C110" s="9" t="str">
        <x:v>kAuth</x:v>
      </x:c>
      <x:c r="D110" s="9" t="str">
        <x:v>SYS</x:v>
      </x:c>
      <x:c r="E110" s="9" t="str">
        <x:v>SYS-001、SYS-002、SYS-003、SYS-004、SYS-005、SYS-006、SYS-007、SYS-008、SYS-009、SYS-010</x:v>
      </x:c>
      <x:c r="F110" s="9" t="str">
        <x:v>API-001；API-002（每路由独立请求夹具）</x:v>
      </x:c>
      <x:c r="G110" s="9" t="str">
        <x:v>只读</x:v>
      </x:c>
      <x:c r="H110" s="9" t="str">
        <x:v>src/api/ApiRouterRoutes.cc:203</x:v>
      </x:c>
      <x:c r="I110" s="9" t="str">
        <x:v>未执行</x:v>
      </x:c>
      <x:c r="J110" s="12" t="str"/>
    </x:row>
    <x:row r="111" ht="40" customHeight="1">
      <x:c r="A111" s="4" t="str">
        <x:v>APIREF-107</x:v>
      </x:c>
      <x:c r="B111" s="4" t="str">
        <x:v>/gtw/cwai/System/ResetSystem</x:v>
      </x:c>
      <x:c r="C111" s="4" t="str">
        <x:v>kAuth</x:v>
      </x:c>
      <x:c r="D111" s="4" t="str">
        <x:v>UPG</x:v>
      </x:c>
      <x:c r="E111" s="4" t="str">
        <x:v>UPG-001、UPG-002、UPG-003、UPG-004、UPG-005、UPG-006、UPG-007、UPG-008、UPG-009、UPG-010、UPG-011、UPG-012、UPG-013</x:v>
      </x:c>
      <x:c r="F111" s="4" t="str">
        <x:v>API-001；API-002（每路由独立请求夹具）</x:v>
      </x:c>
      <x:c r="G111" s="4" t="str">
        <x:v>含写操作/生命周期；按具体契约执行</x:v>
      </x:c>
      <x:c r="H111" s="4" t="str">
        <x:v>src/api/ApiRouterRoutes.cc:204</x:v>
      </x:c>
      <x:c r="I111" s="4" t="str">
        <x:v>未执行</x:v>
      </x:c>
      <x:c r="J111" s="12" t="str"/>
    </x:row>
    <x:row r="112" ht="32" customHeight="1">
      <x:c r="A112" s="9" t="str">
        <x:v>APIREF-108</x:v>
      </x:c>
      <x:c r="B112" s="9" t="str">
        <x:v>/gtw/cwai/System/ExportFile</x:v>
      </x:c>
      <x:c r="C112" s="9" t="str">
        <x:v>kAuth</x:v>
      </x:c>
      <x:c r="D112" s="9" t="str">
        <x:v>SYS</x:v>
      </x:c>
      <x:c r="E112" s="9" t="str">
        <x:v>SYS-001、SYS-002、SYS-003、SYS-004、SYS-005、SYS-006、SYS-007、SYS-008、SYS-009、SYS-010</x:v>
      </x:c>
      <x:c r="F112" s="9" t="str">
        <x:v>API-001；API-002（每路由独立请求夹具）</x:v>
      </x:c>
      <x:c r="G112" s="9" t="str">
        <x:v>含写操作/生命周期；按具体契约执行</x:v>
      </x:c>
      <x:c r="H112" s="9" t="str">
        <x:v>src/api/ApiRouterRoutes.cc:205</x:v>
      </x:c>
      <x:c r="I112" s="9" t="str">
        <x:v>未执行</x:v>
      </x:c>
      <x:c r="J112" s="12" t="str"/>
    </x:row>
    <x:row r="113" ht="40" customHeight="1">
      <x:c r="A113" s="4" t="str">
        <x:v>APIREF-109</x:v>
      </x:c>
      <x:c r="B113" s="4" t="str">
        <x:v>/gtw/cwai/System/CheckUpgradeSpace</x:v>
      </x:c>
      <x:c r="C113" s="4" t="str">
        <x:v>kAuth</x:v>
      </x:c>
      <x:c r="D113" s="4" t="str">
        <x:v>UPG</x:v>
      </x:c>
      <x:c r="E113" s="4" t="str">
        <x:v>UPG-001、UPG-002、UPG-003、UPG-004、UPG-005、UPG-006、UPG-007、UPG-008、UPG-009、UPG-010、UPG-011、UPG-012、UPG-013</x:v>
      </x:c>
      <x:c r="F113" s="4" t="str">
        <x:v>API-001；API-002（每路由独立请求夹具）</x:v>
      </x:c>
      <x:c r="G113" s="4" t="str">
        <x:v>含写操作/生命周期；按具体契约执行</x:v>
      </x:c>
      <x:c r="H113" s="4" t="str">
        <x:v>src/api/ApiRouterRoutes.cc:206</x:v>
      </x:c>
      <x:c r="I113" s="4" t="str">
        <x:v>未执行</x:v>
      </x:c>
      <x:c r="J113" s="12" t="str"/>
    </x:row>
    <x:row r="114" ht="40" customHeight="1">
      <x:c r="A114" s="9" t="str">
        <x:v>APIREF-110</x:v>
      </x:c>
      <x:c r="B114" s="9" t="str">
        <x:v>/gtw/cwai/System/Upgrade</x:v>
      </x:c>
      <x:c r="C114" s="9" t="str">
        <x:v>kAuth</x:v>
      </x:c>
      <x:c r="D114" s="9" t="str">
        <x:v>UPG</x:v>
      </x:c>
      <x:c r="E114" s="9" t="str">
        <x:v>UPG-001、UPG-002、UPG-003、UPG-004、UPG-005、UPG-006、UPG-007、UPG-008、UPG-009、UPG-010、UPG-011、UPG-012、UPG-013</x:v>
      </x:c>
      <x:c r="F114" s="9" t="str">
        <x:v>API-001；API-002（每路由独立请求夹具）</x:v>
      </x:c>
      <x:c r="G114" s="9" t="str">
        <x:v>含写操作/生命周期；按具体契约执行</x:v>
      </x:c>
      <x:c r="H114" s="9" t="str">
        <x:v>src/api/ApiRouterRoutes.cc:207</x:v>
      </x:c>
      <x:c r="I114" s="9" t="str">
        <x:v>未执行</x:v>
      </x:c>
      <x:c r="J114" s="12" t="str"/>
    </x:row>
    <x:row r="115" ht="40" customHeight="1">
      <x:c r="A115" s="4" t="str">
        <x:v>APIREF-111</x:v>
      </x:c>
      <x:c r="B115" s="4" t="str">
        <x:v>/gtw/cwai/System/QueryModelAuthorization</x:v>
      </x:c>
      <x:c r="C115" s="4" t="str">
        <x:v>kAuth</x:v>
      </x:c>
      <x:c r="D115" s="4" t="str">
        <x:v>MODEL</x:v>
      </x:c>
      <x:c r="E115" s="4" t="str">
        <x:v>MODEL-001、MODEL-002、MODEL-003、MODEL-004、MODEL-005、MODEL-006、MODEL-007、MODEL-008、MODEL-009、MODEL-010、MODEL-011</x:v>
      </x:c>
      <x:c r="F115" s="4" t="str">
        <x:v>API-001；API-002（每路由独立请求夹具）</x:v>
      </x:c>
      <x:c r="G115" s="4" t="str">
        <x:v>只读</x:v>
      </x:c>
      <x:c r="H115" s="4" t="str">
        <x:v>src/api/ApiRouterRoutes.cc:208</x:v>
      </x:c>
      <x:c r="I115" s="4" t="str">
        <x:v>未执行</x:v>
      </x:c>
      <x:c r="J115" s="12" t="str"/>
    </x:row>
    <x:row r="116" ht="40" customHeight="1">
      <x:c r="A116" s="9" t="str">
        <x:v>APIREF-112</x:v>
      </x:c>
      <x:c r="B116" s="9" t="str">
        <x:v>/gtw/cwai/System/DownloadModelAuthorizationRequest</x:v>
      </x:c>
      <x:c r="C116" s="9" t="str">
        <x:v>kAuth</x:v>
      </x:c>
      <x:c r="D116" s="9" t="str">
        <x:v>MODEL</x:v>
      </x:c>
      <x:c r="E116" s="9" t="str">
        <x:v>MODEL-001、MODEL-002、MODEL-003、MODEL-004、MODEL-005、MODEL-006、MODEL-007、MODEL-008、MODEL-009、MODEL-010、MODEL-011</x:v>
      </x:c>
      <x:c r="F116" s="9" t="str">
        <x:v>API-001；API-002（每路由独立请求夹具）</x:v>
      </x:c>
      <x:c r="G116" s="9" t="str">
        <x:v>含写操作/生命周期；按具体契约执行</x:v>
      </x:c>
      <x:c r="H116" s="9" t="str">
        <x:v>src/api/ApiRouterRoutes.cc:209</x:v>
      </x:c>
      <x:c r="I116" s="9" t="str">
        <x:v>未执行</x:v>
      </x:c>
      <x:c r="J116" s="12" t="str"/>
    </x:row>
    <x:row r="117" ht="40" customHeight="1">
      <x:c r="A117" s="4" t="str">
        <x:v>APIREF-113</x:v>
      </x:c>
      <x:c r="B117" s="4" t="str">
        <x:v>/gtw/cwai/System/InstallModelAuthorization</x:v>
      </x:c>
      <x:c r="C117" s="4" t="str">
        <x:v>kAuth</x:v>
      </x:c>
      <x:c r="D117" s="4" t="str">
        <x:v>MODEL</x:v>
      </x:c>
      <x:c r="E117" s="4" t="str">
        <x:v>MODEL-001、MODEL-002、MODEL-003、MODEL-004、MODEL-005、MODEL-006、MODEL-007、MODEL-008、MODEL-009、MODEL-010、MODEL-011</x:v>
      </x:c>
      <x:c r="F117" s="4" t="str">
        <x:v>API-001；API-002（每路由独立请求夹具）</x:v>
      </x:c>
      <x:c r="G117" s="4" t="str">
        <x:v>含写操作/生命周期；按具体契约执行</x:v>
      </x:c>
      <x:c r="H117" s="4" t="str">
        <x:v>src/api/ApiRouterRoutes.cc:211</x:v>
      </x:c>
      <x:c r="I117" s="4" t="str">
        <x:v>未执行</x:v>
      </x:c>
      <x:c r="J117" s="12" t="str"/>
    </x:row>
    <x:row r="118" ht="32" customHeight="1">
      <x:c r="A118" s="9" t="str">
        <x:v>APIREF-114</x:v>
      </x:c>
      <x:c r="B118" s="9" t="str">
        <x:v>/gtw/cwai/System/QuerySystemLogo</x:v>
      </x:c>
      <x:c r="C118" s="9" t="str">
        <x:v>kAuth</x:v>
      </x:c>
      <x:c r="D118" s="9" t="str">
        <x:v>SYS</x:v>
      </x:c>
      <x:c r="E118" s="9" t="str">
        <x:v>SYS-001、SYS-002、SYS-003、SYS-004、SYS-005、SYS-006、SYS-007、SYS-008、SYS-009、SYS-010</x:v>
      </x:c>
      <x:c r="F118" s="9" t="str">
        <x:v>API-001；API-002（每路由独立请求夹具）</x:v>
      </x:c>
      <x:c r="G118" s="9" t="str">
        <x:v>只读</x:v>
      </x:c>
      <x:c r="H118" s="9" t="str">
        <x:v>src/api/ApiRouterRoutes.cc:212</x:v>
      </x:c>
      <x:c r="I118" s="9" t="str">
        <x:v>未执行</x:v>
      </x:c>
      <x:c r="J118" s="12" t="str"/>
    </x:row>
    <x:row r="119" ht="32" customHeight="1">
      <x:c r="A119" s="4" t="str">
        <x:v>APIREF-115</x:v>
      </x:c>
      <x:c r="B119" s="4" t="str">
        <x:v>/gtw/cwai/System/SetSystemLogo</x:v>
      </x:c>
      <x:c r="C119" s="4" t="str">
        <x:v>kAuth</x:v>
      </x:c>
      <x:c r="D119" s="4" t="str">
        <x:v>SYS</x:v>
      </x:c>
      <x:c r="E119" s="4" t="str">
        <x:v>SYS-001、SYS-002、SYS-003、SYS-004、SYS-005、SYS-006、SYS-007、SYS-008、SYS-009、SYS-010</x:v>
      </x:c>
      <x:c r="F119" s="4" t="str">
        <x:v>API-001；API-002（每路由独立请求夹具）</x:v>
      </x:c>
      <x:c r="G119" s="4" t="str">
        <x:v>含写操作/生命周期；按具体契约执行</x:v>
      </x:c>
      <x:c r="H119" s="4" t="str">
        <x:v>src/api/ApiRouterRoutes.cc:213</x:v>
      </x:c>
      <x:c r="I119" s="4" t="str">
        <x:v>未执行</x:v>
      </x:c>
      <x:c r="J119" s="12" t="str"/>
    </x:row>
    <x:row r="120" ht="40" customHeight="1">
      <x:c r="A120" s="9" t="str">
        <x:v>APIREF-116</x:v>
      </x:c>
      <x:c r="B120" s="9" t="str">
        <x:v>/gtw/cwai/System/QueryDeviceStatus</x:v>
      </x:c>
      <x:c r="C120" s="9" t="str">
        <x:v>kAuth</x:v>
      </x:c>
      <x:c r="D120" s="9" t="str">
        <x:v>UPG</x:v>
      </x:c>
      <x:c r="E120" s="9" t="str">
        <x:v>UPG-001、UPG-002、UPG-003、UPG-004、UPG-005、UPG-006、UPG-007、UPG-008、UPG-009、UPG-010、UPG-011、UPG-012、UPG-013</x:v>
      </x:c>
      <x:c r="F120" s="9" t="str">
        <x:v>API-001；API-002（每路由独立请求夹具）</x:v>
      </x:c>
      <x:c r="G120" s="9" t="str">
        <x:v>只读</x:v>
      </x:c>
      <x:c r="H120" s="9" t="str">
        <x:v>src/api/ApiRouterRoutes.cc:214</x:v>
      </x:c>
      <x:c r="I120" s="9" t="str">
        <x:v>未执行</x:v>
      </x:c>
      <x:c r="J120" s="12" t="str"/>
    </x:row>
    <x:row r="121" ht="32" customHeight="1">
      <x:c r="A121" s="4" t="str">
        <x:v>APIREF-117</x:v>
      </x:c>
      <x:c r="B121" s="4" t="str">
        <x:v>/gtw/cwai/System/ModifyDebugMode</x:v>
      </x:c>
      <x:c r="C121" s="4" t="str">
        <x:v>kAuth</x:v>
      </x:c>
      <x:c r="D121" s="4" t="str">
        <x:v>SYS</x:v>
      </x:c>
      <x:c r="E121" s="4" t="str">
        <x:v>SYS-001、SYS-002、SYS-003、SYS-004、SYS-005、SYS-006、SYS-007、SYS-008、SYS-009、SYS-010</x:v>
      </x:c>
      <x:c r="F121" s="4" t="str">
        <x:v>API-001；API-002（每路由独立请求夹具）</x:v>
      </x:c>
      <x:c r="G121" s="4" t="str">
        <x:v>含写操作/生命周期；按具体契约执行</x:v>
      </x:c>
      <x:c r="H121" s="4" t="str">
        <x:v>src/api/ApiRouterRoutes.cc:215</x:v>
      </x:c>
      <x:c r="I121" s="4" t="str">
        <x:v>未执行</x:v>
      </x:c>
      <x:c r="J121" s="12" t="str"/>
    </x:row>
    <x:row r="122" ht="32" customHeight="1">
      <x:c r="A122" s="9" t="str">
        <x:v>APIREF-118</x:v>
      </x:c>
      <x:c r="B122" s="9" t="str">
        <x:v>/gtw/cwai/System/QueryDebugMode</x:v>
      </x:c>
      <x:c r="C122" s="9" t="str">
        <x:v>kAuth</x:v>
      </x:c>
      <x:c r="D122" s="9" t="str">
        <x:v>SYS</x:v>
      </x:c>
      <x:c r="E122" s="9" t="str">
        <x:v>SYS-001、SYS-002、SYS-003、SYS-004、SYS-005、SYS-006、SYS-007、SYS-008、SYS-009、SYS-010</x:v>
      </x:c>
      <x:c r="F122" s="9" t="str">
        <x:v>API-001；API-002（每路由独立请求夹具）</x:v>
      </x:c>
      <x:c r="G122" s="9" t="str">
        <x:v>只读</x:v>
      </x:c>
      <x:c r="H122" s="9" t="str">
        <x:v>src/api/ApiRouterRoutes.cc:216</x:v>
      </x:c>
      <x:c r="I122" s="9" t="str">
        <x:v>未执行</x:v>
      </x:c>
      <x:c r="J122" s="12" t="str"/>
    </x:row>
    <x:row r="123" ht="32" customHeight="1">
      <x:c r="A123" s="4" t="str">
        <x:v>APIREF-119</x:v>
      </x:c>
      <x:c r="B123" s="4" t="str">
        <x:v>/gtw/cwai/System/ModifyShiledActions</x:v>
      </x:c>
      <x:c r="C123" s="4" t="str">
        <x:v>kAuth</x:v>
      </x:c>
      <x:c r="D123" s="4" t="str">
        <x:v>SYS</x:v>
      </x:c>
      <x:c r="E123" s="4" t="str">
        <x:v>SYS-001、SYS-002、SYS-003、SYS-004、SYS-005、SYS-006、SYS-007、SYS-008、SYS-009、SYS-010</x:v>
      </x:c>
      <x:c r="F123" s="4" t="str">
        <x:v>API-001；API-002（每路由独立请求夹具）</x:v>
      </x:c>
      <x:c r="G123" s="4" t="str">
        <x:v>含写操作/生命周期；按具体契约执行</x:v>
      </x:c>
      <x:c r="H123" s="4" t="str">
        <x:v>src/api/ApiRouterRoutes.cc:217</x:v>
      </x:c>
      <x:c r="I123" s="4" t="str">
        <x:v>未执行</x:v>
      </x:c>
      <x:c r="J123" s="12" t="str"/>
    </x:row>
    <x:row r="124" ht="32" customHeight="1">
      <x:c r="A124" s="9" t="str">
        <x:v>APIREF-120</x:v>
      </x:c>
      <x:c r="B124" s="9" t="str">
        <x:v>/gtw/cwai/System/QueryShiledActions</x:v>
      </x:c>
      <x:c r="C124" s="9" t="str">
        <x:v>kAuth</x:v>
      </x:c>
      <x:c r="D124" s="9" t="str">
        <x:v>SYS</x:v>
      </x:c>
      <x:c r="E124" s="9" t="str">
        <x:v>SYS-001、SYS-002、SYS-003、SYS-004、SYS-005、SYS-006、SYS-007、SYS-008、SYS-009、SYS-010</x:v>
      </x:c>
      <x:c r="F124" s="9" t="str">
        <x:v>API-001；API-002（每路由独立请求夹具）</x:v>
      </x:c>
      <x:c r="G124" s="9" t="str">
        <x:v>只读</x:v>
      </x:c>
      <x:c r="H124" s="9" t="str">
        <x:v>src/api/ApiRouterRoutes.cc:218</x:v>
      </x:c>
      <x:c r="I124" s="9" t="str">
        <x:v>未执行</x:v>
      </x:c>
      <x:c r="J124" s="12" t="str"/>
    </x:row>
    <x:row r="125" ht="32" customHeight="1">
      <x:c r="A125" s="4" t="str">
        <x:v>APIREF-121</x:v>
      </x:c>
      <x:c r="B125" s="4" t="str">
        <x:v>/gtw/cwai/System/ThreadDebugInfo</x:v>
      </x:c>
      <x:c r="C125" s="4" t="str">
        <x:v>kAuth</x:v>
      </x:c>
      <x:c r="D125" s="4" t="str">
        <x:v>SYS</x:v>
      </x:c>
      <x:c r="E125" s="4" t="str">
        <x:v>SYS-001、SYS-002、SYS-003、SYS-004、SYS-005、SYS-006、SYS-007、SYS-008、SYS-009、SYS-010</x:v>
      </x:c>
      <x:c r="F125" s="4" t="str">
        <x:v>API-001；API-002（每路由独立请求夹具）</x:v>
      </x:c>
      <x:c r="G125" s="4" t="str">
        <x:v>只读</x:v>
      </x:c>
      <x:c r="H125" s="4" t="str">
        <x:v>src/api/ApiRouterRoutes.cc:219</x:v>
      </x:c>
      <x:c r="I125" s="4" t="str">
        <x:v>未执行</x:v>
      </x:c>
      <x:c r="J125" s="12" t="str"/>
    </x:row>
    <x:row r="126" ht="32" customHeight="1">
      <x:c r="A126" s="9" t="str">
        <x:v>APIREF-122</x:v>
      </x:c>
      <x:c r="B126" s="9" t="str">
        <x:v>/gtw/cwai/System/QueryPopUpParam</x:v>
      </x:c>
      <x:c r="C126" s="9" t="str">
        <x:v>kAuth</x:v>
      </x:c>
      <x:c r="D126" s="9" t="str">
        <x:v>SYS</x:v>
      </x:c>
      <x:c r="E126" s="9" t="str">
        <x:v>SYS-001、SYS-002、SYS-003、SYS-004、SYS-005、SYS-006、SYS-007、SYS-008、SYS-009、SYS-010</x:v>
      </x:c>
      <x:c r="F126" s="9" t="str">
        <x:v>API-001；API-002（每路由独立请求夹具）</x:v>
      </x:c>
      <x:c r="G126" s="9" t="str">
        <x:v>只读</x:v>
      </x:c>
      <x:c r="H126" s="9" t="str">
        <x:v>src/api/ApiRouterRoutes.cc:220</x:v>
      </x:c>
      <x:c r="I126" s="9" t="str">
        <x:v>未执行</x:v>
      </x:c>
      <x:c r="J126" s="12" t="str"/>
    </x:row>
    <x:row r="127" ht="32" customHeight="1">
      <x:c r="A127" s="4" t="str">
        <x:v>APIREF-123</x:v>
      </x:c>
      <x:c r="B127" s="4" t="str">
        <x:v>/gtw/cwai/System/SetPopUpParam</x:v>
      </x:c>
      <x:c r="C127" s="4" t="str">
        <x:v>kAuth</x:v>
      </x:c>
      <x:c r="D127" s="4" t="str">
        <x:v>SYS</x:v>
      </x:c>
      <x:c r="E127" s="4" t="str">
        <x:v>SYS-001、SYS-002、SYS-003、SYS-004、SYS-005、SYS-006、SYS-007、SYS-008、SYS-009、SYS-010</x:v>
      </x:c>
      <x:c r="F127" s="4" t="str">
        <x:v>API-001；API-002（每路由独立请求夹具）</x:v>
      </x:c>
      <x:c r="G127" s="4" t="str">
        <x:v>含写操作/生命周期；按具体契约执行</x:v>
      </x:c>
      <x:c r="H127" s="4" t="str">
        <x:v>src/api/ApiRouterRoutes.cc:221</x:v>
      </x:c>
      <x:c r="I127" s="4" t="str">
        <x:v>未执行</x:v>
      </x:c>
      <x:c r="J127" s="12" t="str"/>
    </x:row>
    <x:row r="128" ht="32" customHeight="1">
      <x:c r="A128" s="9" t="str">
        <x:v>APIREF-124</x:v>
      </x:c>
      <x:c r="B128" s="9" t="str">
        <x:v>/gtw/cwai/System/QueryHttpInterfaceParam</x:v>
      </x:c>
      <x:c r="C128" s="9" t="str">
        <x:v>kAuth</x:v>
      </x:c>
      <x:c r="D128" s="9" t="str">
        <x:v>PUSH</x:v>
      </x:c>
      <x:c r="E128" s="9" t="str">
        <x:v>PUSH-001、PUSH-002、PUSH-003、PUSH-004、PUSH-005、PUSH-006、PUSH-007、PUSH-008、PUSH-009</x:v>
      </x:c>
      <x:c r="F128" s="9" t="str">
        <x:v>API-001；API-002（每路由独立请求夹具）</x:v>
      </x:c>
      <x:c r="G128" s="9" t="str">
        <x:v>只读</x:v>
      </x:c>
      <x:c r="H128" s="9" t="str">
        <x:v>src/api/ApiRouterRoutes.cc:222</x:v>
      </x:c>
      <x:c r="I128" s="9" t="str">
        <x:v>未执行</x:v>
      </x:c>
      <x:c r="J128" s="12" t="str"/>
    </x:row>
    <x:row r="129" ht="32" customHeight="1">
      <x:c r="A129" s="4" t="str">
        <x:v>APIREF-125</x:v>
      </x:c>
      <x:c r="B129" s="4" t="str">
        <x:v>/gtw/cwai/System/SetHttpInterfaceParam</x:v>
      </x:c>
      <x:c r="C129" s="4" t="str">
        <x:v>kAuth</x:v>
      </x:c>
      <x:c r="D129" s="4" t="str">
        <x:v>PUSH</x:v>
      </x:c>
      <x:c r="E129" s="4" t="str">
        <x:v>PUSH-001、PUSH-002、PUSH-003、PUSH-004、PUSH-005、PUSH-006、PUSH-007、PUSH-008、PUSH-009</x:v>
      </x:c>
      <x:c r="F129" s="4" t="str">
        <x:v>API-001；API-002（每路由独立请求夹具）</x:v>
      </x:c>
      <x:c r="G129" s="4" t="str">
        <x:v>含写操作/生命周期；按具体契约执行</x:v>
      </x:c>
      <x:c r="H129" s="4" t="str">
        <x:v>src/api/ApiRouterRoutes.cc:223</x:v>
      </x:c>
      <x:c r="I129" s="4" t="str">
        <x:v>未执行</x:v>
      </x:c>
      <x:c r="J129" s="12" t="str"/>
    </x:row>
    <x:row r="130" ht="32" customHeight="1">
      <x:c r="A130" s="9" t="str">
        <x:v>APIREF-126</x:v>
      </x:c>
      <x:c r="B130" s="9" t="str">
        <x:v>/gtw/cwai/System/QueryMqttAdapterParam</x:v>
      </x:c>
      <x:c r="C130" s="9" t="str">
        <x:v>kAuth</x:v>
      </x:c>
      <x:c r="D130" s="9" t="str">
        <x:v>PUSH</x:v>
      </x:c>
      <x:c r="E130" s="9" t="str">
        <x:v>PUSH-001、PUSH-002、PUSH-003、PUSH-004、PUSH-005、PUSH-006、PUSH-007、PUSH-008、PUSH-009</x:v>
      </x:c>
      <x:c r="F130" s="9" t="str">
        <x:v>API-001；API-002（每路由独立请求夹具）</x:v>
      </x:c>
      <x:c r="G130" s="9" t="str">
        <x:v>只读</x:v>
      </x:c>
      <x:c r="H130" s="9" t="str">
        <x:v>src/api/ApiRouterRoutes.cc:224</x:v>
      </x:c>
      <x:c r="I130" s="9" t="str">
        <x:v>未执行</x:v>
      </x:c>
      <x:c r="J130" s="12" t="str"/>
    </x:row>
    <x:row r="131" ht="32" customHeight="1">
      <x:c r="A131" s="4" t="str">
        <x:v>APIREF-127</x:v>
      </x:c>
      <x:c r="B131" s="4" t="str">
        <x:v>/gtw/cwai/System/SetMqttAdapterParam</x:v>
      </x:c>
      <x:c r="C131" s="4" t="str">
        <x:v>kAuth</x:v>
      </x:c>
      <x:c r="D131" s="4" t="str">
        <x:v>PUSH</x:v>
      </x:c>
      <x:c r="E131" s="4" t="str">
        <x:v>PUSH-001、PUSH-002、PUSH-003、PUSH-004、PUSH-005、PUSH-006、PUSH-007、PUSH-008、PUSH-009</x:v>
      </x:c>
      <x:c r="F131" s="4" t="str">
        <x:v>API-001；API-002（每路由独立请求夹具）</x:v>
      </x:c>
      <x:c r="G131" s="4" t="str">
        <x:v>含写操作/生命周期；按具体契约执行</x:v>
      </x:c>
      <x:c r="H131" s="4" t="str">
        <x:v>src/api/ApiRouterRoutes.cc:225</x:v>
      </x:c>
      <x:c r="I131" s="4" t="str">
        <x:v>未执行</x:v>
      </x:c>
      <x:c r="J131" s="12" t="str"/>
    </x:row>
    <x:row r="132" ht="32" customHeight="1">
      <x:c r="A132" s="9" t="str">
        <x:v>APIREF-128</x:v>
      </x:c>
      <x:c r="B132" s="9" t="str">
        <x:v>/gtw/cwai/System/QueryRunModeParam</x:v>
      </x:c>
      <x:c r="C132" s="9" t="str">
        <x:v>kAuth</x:v>
      </x:c>
      <x:c r="D132" s="9" t="str">
        <x:v>PUSH</x:v>
      </x:c>
      <x:c r="E132" s="9" t="str">
        <x:v>PUSH-001、PUSH-002、PUSH-003、PUSH-004、PUSH-005、PUSH-006、PUSH-007、PUSH-008、PUSH-009</x:v>
      </x:c>
      <x:c r="F132" s="9" t="str">
        <x:v>API-001；API-002（每路由独立请求夹具）</x:v>
      </x:c>
      <x:c r="G132" s="9" t="str">
        <x:v>只读</x:v>
      </x:c>
      <x:c r="H132" s="9" t="str">
        <x:v>src/api/ApiRouterRoutes.cc:226</x:v>
      </x:c>
      <x:c r="I132" s="9" t="str">
        <x:v>未执行</x:v>
      </x:c>
      <x:c r="J132" s="12" t="str"/>
    </x:row>
    <x:row r="133" ht="32" customHeight="1">
      <x:c r="A133" s="4" t="str">
        <x:v>APIREF-129</x:v>
      </x:c>
      <x:c r="B133" s="4" t="str">
        <x:v>/gtw/cwai/System/ModifyRunModeParam</x:v>
      </x:c>
      <x:c r="C133" s="4" t="str">
        <x:v>kAuth</x:v>
      </x:c>
      <x:c r="D133" s="4" t="str">
        <x:v>PUSH</x:v>
      </x:c>
      <x:c r="E133" s="4" t="str">
        <x:v>PUSH-001、PUSH-002、PUSH-003、PUSH-004、PUSH-005、PUSH-006、PUSH-007、PUSH-008、PUSH-009</x:v>
      </x:c>
      <x:c r="F133" s="4" t="str">
        <x:v>API-001；API-002（每路由独立请求夹具）</x:v>
      </x:c>
      <x:c r="G133" s="4" t="str">
        <x:v>含写操作/生命周期；按具体契约执行</x:v>
      </x:c>
      <x:c r="H133" s="4" t="str">
        <x:v>src/api/ApiRouterRoutes.cc:227</x:v>
      </x:c>
      <x:c r="I133" s="4" t="str">
        <x:v>未执行</x:v>
      </x:c>
      <x:c r="J133" s="12" t="str"/>
    </x:row>
    <x:row r="134" ht="32" customHeight="1">
      <x:c r="A134" s="9" t="str">
        <x:v>APIREF-130</x:v>
      </x:c>
      <x:c r="B134" s="9" t="str">
        <x:v>/gtw/cwai/System/QueryIotNetworkParam</x:v>
      </x:c>
      <x:c r="C134" s="9" t="str">
        <x:v>kAuth</x:v>
      </x:c>
      <x:c r="D134" s="9" t="str">
        <x:v>PUSH</x:v>
      </x:c>
      <x:c r="E134" s="9" t="str">
        <x:v>PUSH-001、PUSH-002、PUSH-003、PUSH-004、PUSH-005、PUSH-006、PUSH-007、PUSH-008、PUSH-009</x:v>
      </x:c>
      <x:c r="F134" s="9" t="str">
        <x:v>API-001；API-002（每路由独立请求夹具）</x:v>
      </x:c>
      <x:c r="G134" s="9" t="str">
        <x:v>只读</x:v>
      </x:c>
      <x:c r="H134" s="9" t="str">
        <x:v>src/api/ApiRouterRoutes.cc:228</x:v>
      </x:c>
      <x:c r="I134" s="9" t="str">
        <x:v>未执行</x:v>
      </x:c>
      <x:c r="J134" s="12" t="str"/>
    </x:row>
    <x:row r="135" ht="32" customHeight="1">
      <x:c r="A135" s="4" t="str">
        <x:v>APIREF-131</x:v>
      </x:c>
      <x:c r="B135" s="4" t="str">
        <x:v>/gtw/cwai/System/ModifyIotNetworkParam</x:v>
      </x:c>
      <x:c r="C135" s="4" t="str">
        <x:v>kAuth</x:v>
      </x:c>
      <x:c r="D135" s="4" t="str">
        <x:v>PUSH</x:v>
      </x:c>
      <x:c r="E135" s="4" t="str">
        <x:v>PUSH-001、PUSH-002、PUSH-003、PUSH-004、PUSH-005、PUSH-006、PUSH-007、PUSH-008、PUSH-009</x:v>
      </x:c>
      <x:c r="F135" s="4" t="str">
        <x:v>API-001；API-002（每路由独立请求夹具）</x:v>
      </x:c>
      <x:c r="G135" s="4" t="str">
        <x:v>含写操作/生命周期；按具体契约执行</x:v>
      </x:c>
      <x:c r="H135" s="4" t="str">
        <x:v>src/api/ApiRouterRoutes.cc:229</x:v>
      </x:c>
      <x:c r="I135" s="4" t="str">
        <x:v>未执行</x:v>
      </x:c>
      <x:c r="J135" s="12" t="str"/>
    </x:row>
    <x:row r="136" ht="32" customHeight="1">
      <x:c r="A136" s="9" t="str">
        <x:v>APIREF-132</x:v>
      </x:c>
      <x:c r="B136" s="9" t="str">
        <x:v>/gtw/cwai/System/QueryDocumentUrl</x:v>
      </x:c>
      <x:c r="C136" s="9" t="str">
        <x:v>kAuth</x:v>
      </x:c>
      <x:c r="D136" s="9" t="str">
        <x:v>PUSH</x:v>
      </x:c>
      <x:c r="E136" s="9" t="str">
        <x:v>PUSH-001、PUSH-002、PUSH-003、PUSH-004、PUSH-005、PUSH-006、PUSH-007、PUSH-008、PUSH-009</x:v>
      </x:c>
      <x:c r="F136" s="9" t="str">
        <x:v>API-001；API-002（每路由独立请求夹具）</x:v>
      </x:c>
      <x:c r="G136" s="9" t="str">
        <x:v>只读</x:v>
      </x:c>
      <x:c r="H136" s="9" t="str">
        <x:v>src/api/ApiRouterRoutes.cc:230</x:v>
      </x:c>
      <x:c r="I136" s="9" t="str">
        <x:v>未执行</x:v>
      </x:c>
      <x:c r="J136" s="12" t="str"/>
    </x:row>
    <x:row r="137" ht="32" customHeight="1">
      <x:c r="A137" s="4" t="str">
        <x:v>APIREF-133</x:v>
      </x:c>
      <x:c r="B137" s="4" t="str">
        <x:v>/gtw/cwai/System/QueryResourceLimitParam</x:v>
      </x:c>
      <x:c r="C137" s="4" t="str">
        <x:v>kAuth</x:v>
      </x:c>
      <x:c r="D137" s="4" t="str">
        <x:v>SYS</x:v>
      </x:c>
      <x:c r="E137" s="4" t="str">
        <x:v>SYS-001、SYS-002、SYS-003、SYS-004、SYS-005、SYS-006、SYS-007、SYS-008、SYS-009、SYS-010</x:v>
      </x:c>
      <x:c r="F137" s="4" t="str">
        <x:v>API-001；API-002（每路由独立请求夹具）</x:v>
      </x:c>
      <x:c r="G137" s="4" t="str">
        <x:v>只读</x:v>
      </x:c>
      <x:c r="H137" s="4" t="str">
        <x:v>src/api/ApiRouterRoutes.cc:231</x:v>
      </x:c>
      <x:c r="I137" s="4" t="str">
        <x:v>未执行</x:v>
      </x:c>
      <x:c r="J137" s="12" t="str"/>
    </x:row>
    <x:row r="138" ht="32" customHeight="1">
      <x:c r="A138" s="9" t="str">
        <x:v>APIREF-134</x:v>
      </x:c>
      <x:c r="B138" s="9" t="str">
        <x:v>/gtw/cwai/System/SetResourceLimitParam</x:v>
      </x:c>
      <x:c r="C138" s="9" t="str">
        <x:v>kAuth</x:v>
      </x:c>
      <x:c r="D138" s="9" t="str">
        <x:v>SYS</x:v>
      </x:c>
      <x:c r="E138" s="9" t="str">
        <x:v>SYS-001、SYS-002、SYS-003、SYS-004、SYS-005、SYS-006、SYS-007、SYS-008、SYS-009、SYS-010</x:v>
      </x:c>
      <x:c r="F138" s="9" t="str">
        <x:v>API-001；API-002（每路由独立请求夹具）</x:v>
      </x:c>
      <x:c r="G138" s="9" t="str">
        <x:v>含写操作/生命周期；按具体契约执行</x:v>
      </x:c>
      <x:c r="H138" s="9" t="str">
        <x:v>src/api/ApiRouterRoutes.cc:232</x:v>
      </x:c>
      <x:c r="I138" s="9" t="str">
        <x:v>未执行</x:v>
      </x:c>
      <x:c r="J138" s="12" t="str"/>
    </x:row>
    <x:row r="139" ht="32" customHeight="1">
      <x:c r="A139" s="4" t="str">
        <x:v>APIREF-135</x:v>
      </x:c>
      <x:c r="B139" s="4" t="str">
        <x:v>/gtw/cwai/System/DebugQuit</x:v>
      </x:c>
      <x:c r="C139" s="4" t="str">
        <x:v>kAuth</x:v>
      </x:c>
      <x:c r="D139" s="4" t="str">
        <x:v>SYS</x:v>
      </x:c>
      <x:c r="E139" s="4" t="str">
        <x:v>SYS-001、SYS-002、SYS-003、SYS-004、SYS-005、SYS-006、SYS-007、SYS-008、SYS-009、SYS-010</x:v>
      </x:c>
      <x:c r="F139" s="4" t="str">
        <x:v>API-001；API-002（每路由独立请求夹具）</x:v>
      </x:c>
      <x:c r="G139" s="4" t="str">
        <x:v>含写操作/生命周期；按具体契约执行</x:v>
      </x:c>
      <x:c r="H139" s="4" t="str">
        <x:v>src/api/ApiRouterRoutes.cc:233</x:v>
      </x:c>
      <x:c r="I139" s="4" t="str">
        <x:v>未执行</x:v>
      </x:c>
      <x:c r="J139" s="12" t="str"/>
    </x:row>
    <x:row r="140" ht="32" customHeight="1">
      <x:c r="A140" s="9" t="str">
        <x:v>APIREF-136</x:v>
      </x:c>
      <x:c r="B140" s="9" t="str">
        <x:v>/gtw/cwai/System/DebugSystemMem</x:v>
      </x:c>
      <x:c r="C140" s="9" t="str">
        <x:v>kAuth</x:v>
      </x:c>
      <x:c r="D140" s="9" t="str">
        <x:v>SYS</x:v>
      </x:c>
      <x:c r="E140" s="9" t="str">
        <x:v>SYS-001、SYS-002、SYS-003、SYS-004、SYS-005、SYS-006、SYS-007、SYS-008、SYS-009、SYS-010</x:v>
      </x:c>
      <x:c r="F140" s="9" t="str">
        <x:v>API-001；API-002（每路由独立请求夹具）</x:v>
      </x:c>
      <x:c r="G140" s="9" t="str">
        <x:v>含写操作/生命周期；按具体契约执行</x:v>
      </x:c>
      <x:c r="H140" s="9" t="str">
        <x:v>src/api/ApiRouterRoutes.cc:234</x:v>
      </x:c>
      <x:c r="I140" s="9" t="str">
        <x:v>未执行</x:v>
      </x:c>
      <x:c r="J140" s="12" t="str"/>
    </x:row>
    <x:row r="141" ht="32" customHeight="1">
      <x:c r="A141" s="4" t="str">
        <x:v>APIREF-137</x:v>
      </x:c>
      <x:c r="B141" s="4" t="str">
        <x:v>/gtw/cwai/System/Dict</x:v>
      </x:c>
      <x:c r="C141" s="4" t="str">
        <x:v>kAuth</x:v>
      </x:c>
      <x:c r="D141" s="4" t="str">
        <x:v>SYS</x:v>
      </x:c>
      <x:c r="E141" s="4" t="str">
        <x:v>SYS-001、SYS-002、SYS-003、SYS-004、SYS-005、SYS-006、SYS-007、SYS-008、SYS-009、SYS-010</x:v>
      </x:c>
      <x:c r="F141" s="4" t="str">
        <x:v>API-001；API-002（每路由独立请求夹具）</x:v>
      </x:c>
      <x:c r="G141" s="4" t="str">
        <x:v>只读</x:v>
      </x:c>
      <x:c r="H141" s="4" t="str">
        <x:v>src/api/ApiRouterRoutes.cc:235</x:v>
      </x:c>
      <x:c r="I141" s="4" t="str">
        <x:v>未执行</x:v>
      </x:c>
      <x:c r="J141" s="12" t="str"/>
    </x:row>
    <x:row r="142" ht="40" customHeight="1">
      <x:c r="A142" s="9" t="str">
        <x:v>APIREF-138</x:v>
      </x:c>
      <x:c r="B142" s="9" t="str">
        <x:v>/gtw/cwai/Library/ModifyFaceLib</x:v>
      </x:c>
      <x:c r="C142" s="9" t="str">
        <x:v>kAuth</x:v>
      </x:c>
      <x:c r="D142" s="9" t="str">
        <x:v>FACE</x:v>
      </x:c>
      <x:c r="E142" s="9" t="str">
        <x:v>FACE-001、FACE-002、FACE-003、FACE-004、FACE-005、FACE-006、FACE-007、FACE-008、FACE-009、FACE-010、FACE-011、FACE-012、FACE-013</x:v>
      </x:c>
      <x:c r="F142" s="9" t="str">
        <x:v>API-001；API-002（每路由独立请求夹具）</x:v>
      </x:c>
      <x:c r="G142" s="9" t="str">
        <x:v>含写操作/生命周期；按具体契约执行</x:v>
      </x:c>
      <x:c r="H142" s="9" t="str">
        <x:v>src/api/ApiRouterRoutes.cc:240</x:v>
      </x:c>
      <x:c r="I142" s="9" t="str">
        <x:v>未执行</x:v>
      </x:c>
      <x:c r="J142" s="12" t="str"/>
    </x:row>
    <x:row r="143" ht="40" customHeight="1">
      <x:c r="A143" s="4" t="str">
        <x:v>APIREF-139</x:v>
      </x:c>
      <x:c r="B143" s="4" t="str">
        <x:v>/gtw/cwai/Library/ModifyFacePicLib</x:v>
      </x:c>
      <x:c r="C143" s="4" t="str">
        <x:v>kAuth</x:v>
      </x:c>
      <x:c r="D143" s="4" t="str">
        <x:v>FACE</x:v>
      </x:c>
      <x:c r="E143" s="4" t="str">
        <x:v>FACE-001、FACE-002、FACE-003、FACE-004、FACE-005、FACE-006、FACE-007、FACE-008、FACE-009、FACE-010、FACE-011、FACE-012、FACE-013</x:v>
      </x:c>
      <x:c r="F143" s="4" t="str">
        <x:v>API-001；API-002（每路由独立请求夹具）</x:v>
      </x:c>
      <x:c r="G143" s="4" t="str">
        <x:v>含写操作/生命周期；按具体契约执行</x:v>
      </x:c>
      <x:c r="H143" s="4" t="str">
        <x:v>src/api/ApiRouterRoutes.cc:241</x:v>
      </x:c>
      <x:c r="I143" s="4" t="str">
        <x:v>未执行</x:v>
      </x:c>
      <x:c r="J143" s="12" t="str"/>
    </x:row>
    <x:row r="144" ht="40" customHeight="1">
      <x:c r="A144" s="9" t="str">
        <x:v>APIREF-140</x:v>
      </x:c>
      <x:c r="B144" s="9" t="str">
        <x:v>/gtw/cwai/Library/QueryFaceLibInfo</x:v>
      </x:c>
      <x:c r="C144" s="9" t="str">
        <x:v>kAuth</x:v>
      </x:c>
      <x:c r="D144" s="9" t="str">
        <x:v>FACE</x:v>
      </x:c>
      <x:c r="E144" s="9" t="str">
        <x:v>FACE-001、FACE-002、FACE-003、FACE-004、FACE-005、FACE-006、FACE-007、FACE-008、FACE-009、FACE-010、FACE-011、FACE-012、FACE-013</x:v>
      </x:c>
      <x:c r="F144" s="9" t="str">
        <x:v>API-001；API-002（每路由独立请求夹具）</x:v>
      </x:c>
      <x:c r="G144" s="9" t="str">
        <x:v>只读</x:v>
      </x:c>
      <x:c r="H144" s="9" t="str">
        <x:v>src/api/ApiRouterRoutes.cc:242</x:v>
      </x:c>
      <x:c r="I144" s="9" t="str">
        <x:v>未执行</x:v>
      </x:c>
      <x:c r="J144" s="12" t="str"/>
    </x:row>
    <x:row r="145" ht="40" customHeight="1">
      <x:c r="A145" s="4" t="str">
        <x:v>APIREF-141</x:v>
      </x:c>
      <x:c r="B145" s="4" t="str">
        <x:v>/gtw/cwai/Library/DeleteFaceLib</x:v>
      </x:c>
      <x:c r="C145" s="4" t="str">
        <x:v>kAuth</x:v>
      </x:c>
      <x:c r="D145" s="4" t="str">
        <x:v>FACE</x:v>
      </x:c>
      <x:c r="E145" s="4" t="str">
        <x:v>FACE-001、FACE-002、FACE-003、FACE-004、FACE-005、FACE-006、FACE-007、FACE-008、FACE-009、FACE-010、FACE-011、FACE-012、FACE-013</x:v>
      </x:c>
      <x:c r="F145" s="4" t="str">
        <x:v>API-001；API-002（每路由独立请求夹具）</x:v>
      </x:c>
      <x:c r="G145" s="4" t="str">
        <x:v>含写操作/生命周期；按具体契约执行</x:v>
      </x:c>
      <x:c r="H145" s="4" t="str">
        <x:v>src/api/ApiRouterRoutes.cc:243</x:v>
      </x:c>
      <x:c r="I145" s="4" t="str">
        <x:v>未执行</x:v>
      </x:c>
      <x:c r="J145" s="12" t="str"/>
    </x:row>
    <x:row r="146" ht="40" customHeight="1">
      <x:c r="A146" s="9" t="str">
        <x:v>APIREF-142</x:v>
      </x:c>
      <x:c r="B146" s="9" t="str">
        <x:v>/gtw/cwai/Library/QueryFaces</x:v>
      </x:c>
      <x:c r="C146" s="9" t="str">
        <x:v>kAuth</x:v>
      </x:c>
      <x:c r="D146" s="9" t="str">
        <x:v>FACE</x:v>
      </x:c>
      <x:c r="E146" s="9" t="str">
        <x:v>FACE-001、FACE-002、FACE-003、FACE-004、FACE-005、FACE-006、FACE-007、FACE-008、FACE-009、FACE-010、FACE-011、FACE-012、FACE-013</x:v>
      </x:c>
      <x:c r="F146" s="9" t="str">
        <x:v>API-001；API-002（每路由独立请求夹具）</x:v>
      </x:c>
      <x:c r="G146" s="9" t="str">
        <x:v>只读</x:v>
      </x:c>
      <x:c r="H146" s="9" t="str">
        <x:v>src/api/ApiRouterRoutes.cc:244</x:v>
      </x:c>
      <x:c r="I146" s="9" t="str">
        <x:v>未执行</x:v>
      </x:c>
      <x:c r="J146" s="12" t="str"/>
    </x:row>
    <x:row r="147" ht="40" customHeight="1">
      <x:c r="A147" s="4" t="str">
        <x:v>APIREF-143</x:v>
      </x:c>
      <x:c r="B147" s="4" t="str">
        <x:v>/gtw/cwai/Library/DeletePerson</x:v>
      </x:c>
      <x:c r="C147" s="4" t="str">
        <x:v>kAuth</x:v>
      </x:c>
      <x:c r="D147" s="4" t="str">
        <x:v>FACE</x:v>
      </x:c>
      <x:c r="E147" s="4" t="str">
        <x:v>FACE-001、FACE-002、FACE-003、FACE-004、FACE-005、FACE-006、FACE-007、FACE-008、FACE-009、FACE-010、FACE-011、FACE-012、FACE-013</x:v>
      </x:c>
      <x:c r="F147" s="4" t="str">
        <x:v>API-001；API-002（每路由独立请求夹具）</x:v>
      </x:c>
      <x:c r="G147" s="4" t="str">
        <x:v>含写操作/生命周期；按具体契约执行</x:v>
      </x:c>
      <x:c r="H147" s="4" t="str">
        <x:v>src/api/ApiRouterRoutes.cc:245</x:v>
      </x:c>
      <x:c r="I147" s="4" t="str">
        <x:v>未执行</x:v>
      </x:c>
      <x:c r="J147" s="12" t="str"/>
    </x:row>
    <x:row r="148" ht="32" customHeight="1">
      <x:c r="A148" s="9" t="str">
        <x:v>APIREF-144</x:v>
      </x:c>
      <x:c r="B148" s="9" t="str">
        <x:v>/gtw/cwai/BodyLibrary/ModifyPersonLib</x:v>
      </x:c>
      <x:c r="C148" s="9" t="str">
        <x:v>kAuth</x:v>
      </x:c>
      <x:c r="D148" s="9" t="str">
        <x:v>UNIFORM</x:v>
      </x:c>
      <x:c r="E148" s="9" t="str">
        <x:v>UNIFORM-001、UNIFORM-002、UNIFORM-003、UNIFORM-004、UNIFORM-005、UNIFORM-006、UNIFORM-007、UNIFORM-008</x:v>
      </x:c>
      <x:c r="F148" s="9" t="str">
        <x:v>API-001；API-002（每路由独立请求夹具）</x:v>
      </x:c>
      <x:c r="G148" s="9" t="str">
        <x:v>含写操作/生命周期；按具体契约执行</x:v>
      </x:c>
      <x:c r="H148" s="9" t="str">
        <x:v>src/api/ApiRouterRoutes.cc:248</x:v>
      </x:c>
      <x:c r="I148" s="9" t="str">
        <x:v>未执行</x:v>
      </x:c>
      <x:c r="J148" s="12" t="str"/>
    </x:row>
    <x:row r="149" ht="32" customHeight="1">
      <x:c r="A149" s="4" t="str">
        <x:v>APIREF-145</x:v>
      </x:c>
      <x:c r="B149" s="4" t="str">
        <x:v>/gtw/cwai/BodyLibrary/DeletePersonLib</x:v>
      </x:c>
      <x:c r="C149" s="4" t="str">
        <x:v>kAuth</x:v>
      </x:c>
      <x:c r="D149" s="4" t="str">
        <x:v>UNIFORM</x:v>
      </x:c>
      <x:c r="E149" s="4" t="str">
        <x:v>UNIFORM-001、UNIFORM-002、UNIFORM-003、UNIFORM-004、UNIFORM-005、UNIFORM-006、UNIFORM-007、UNIFORM-008</x:v>
      </x:c>
      <x:c r="F149" s="4" t="str">
        <x:v>API-001；API-002（每路由独立请求夹具）</x:v>
      </x:c>
      <x:c r="G149" s="4" t="str">
        <x:v>含写操作/生命周期；按具体契约执行</x:v>
      </x:c>
      <x:c r="H149" s="4" t="str">
        <x:v>src/api/ApiRouterRoutes.cc:249</x:v>
      </x:c>
      <x:c r="I149" s="4" t="str">
        <x:v>未执行</x:v>
      </x:c>
      <x:c r="J149" s="12" t="str"/>
    </x:row>
    <x:row r="150" ht="32" customHeight="1">
      <x:c r="A150" s="9" t="str">
        <x:v>APIREF-146</x:v>
      </x:c>
      <x:c r="B150" s="9" t="str">
        <x:v>/gtw/cwai/BodyLibrary/QueryPersonLibInfo</x:v>
      </x:c>
      <x:c r="C150" s="9" t="str">
        <x:v>kAuth</x:v>
      </x:c>
      <x:c r="D150" s="9" t="str">
        <x:v>UNIFORM</x:v>
      </x:c>
      <x:c r="E150" s="9" t="str">
        <x:v>UNIFORM-001、UNIFORM-002、UNIFORM-003、UNIFORM-004、UNIFORM-005、UNIFORM-006、UNIFORM-007、UNIFORM-008</x:v>
      </x:c>
      <x:c r="F150" s="9" t="str">
        <x:v>API-001；API-002（每路由独立请求夹具）</x:v>
      </x:c>
      <x:c r="G150" s="9" t="str">
        <x:v>只读</x:v>
      </x:c>
      <x:c r="H150" s="9" t="str">
        <x:v>src/api/ApiRouterRoutes.cc:250</x:v>
      </x:c>
      <x:c r="I150" s="9" t="str">
        <x:v>未执行</x:v>
      </x:c>
      <x:c r="J150" s="12" t="str"/>
    </x:row>
    <x:row r="151" ht="32" customHeight="1">
      <x:c r="A151" s="4" t="str">
        <x:v>APIREF-147</x:v>
      </x:c>
      <x:c r="B151" s="4" t="str">
        <x:v>/gtw/cwai/BodyLibrary/QueryPersonPictures</x:v>
      </x:c>
      <x:c r="C151" s="4" t="str">
        <x:v>kAuth</x:v>
      </x:c>
      <x:c r="D151" s="4" t="str">
        <x:v>UNIFORM</x:v>
      </x:c>
      <x:c r="E151" s="4" t="str">
        <x:v>UNIFORM-001、UNIFORM-002、UNIFORM-003、UNIFORM-004、UNIFORM-005、UNIFORM-006、UNIFORM-007、UNIFORM-008</x:v>
      </x:c>
      <x:c r="F151" s="4" t="str">
        <x:v>API-001；API-002（每路由独立请求夹具）</x:v>
      </x:c>
      <x:c r="G151" s="4" t="str">
        <x:v>只读</x:v>
      </x:c>
      <x:c r="H151" s="4" t="str">
        <x:v>src/api/ApiRouterRoutes.cc:251</x:v>
      </x:c>
      <x:c r="I151" s="4" t="str">
        <x:v>未执行</x:v>
      </x:c>
      <x:c r="J151" s="12" t="str"/>
    </x:row>
    <x:row r="152" ht="32" customHeight="1">
      <x:c r="A152" s="9" t="str">
        <x:v>APIREF-148</x:v>
      </x:c>
      <x:c r="B152" s="9" t="str">
        <x:v>/gtw/cwai/BodyLibrary/AddLibPerson</x:v>
      </x:c>
      <x:c r="C152" s="9" t="str">
        <x:v>kAuth</x:v>
      </x:c>
      <x:c r="D152" s="9" t="str">
        <x:v>UNIFORM</x:v>
      </x:c>
      <x:c r="E152" s="9" t="str">
        <x:v>UNIFORM-001、UNIFORM-002、UNIFORM-003、UNIFORM-004、UNIFORM-005、UNIFORM-006、UNIFORM-007、UNIFORM-008</x:v>
      </x:c>
      <x:c r="F152" s="9" t="str">
        <x:v>API-001；API-002（每路由独立请求夹具）</x:v>
      </x:c>
      <x:c r="G152" s="9" t="str">
        <x:v>含写操作/生命周期；按具体契约执行</x:v>
      </x:c>
      <x:c r="H152" s="9" t="str">
        <x:v>src/api/ApiRouterRoutes.cc:252</x:v>
      </x:c>
      <x:c r="I152" s="9" t="str">
        <x:v>未执行</x:v>
      </x:c>
      <x:c r="J152" s="12" t="str"/>
    </x:row>
    <x:row r="153" ht="32" customHeight="1">
      <x:c r="A153" s="4" t="str">
        <x:v>APIREF-149</x:v>
      </x:c>
      <x:c r="B153" s="4" t="str">
        <x:v>/gtw/cwai/BodyLibrary/BindTaskPersonLib</x:v>
      </x:c>
      <x:c r="C153" s="4" t="str">
        <x:v>kAuth</x:v>
      </x:c>
      <x:c r="D153" s="4" t="str">
        <x:v>UNIFORM</x:v>
      </x:c>
      <x:c r="E153" s="4" t="str">
        <x:v>UNIFORM-001、UNIFORM-002、UNIFORM-003、UNIFORM-004、UNIFORM-005、UNIFORM-006、UNIFORM-007、UNIFORM-008</x:v>
      </x:c>
      <x:c r="F153" s="4" t="str">
        <x:v>API-001；API-002（每路由独立请求夹具）</x:v>
      </x:c>
      <x:c r="G153" s="4" t="str">
        <x:v>含写操作/生命周期；按具体契约执行</x:v>
      </x:c>
      <x:c r="H153" s="4" t="str">
        <x:v>src/api/ApiRouterRoutes.cc:253</x:v>
      </x:c>
      <x:c r="I153" s="4" t="str">
        <x:v>未执行</x:v>
      </x:c>
      <x:c r="J153" s="12" t="str"/>
    </x:row>
    <x:row r="154" ht="32" customHeight="1">
      <x:c r="A154" s="9" t="str">
        <x:v>APIREF-150</x:v>
      </x:c>
      <x:c r="B154" s="9" t="str">
        <x:v>/gtw/cwai/BodyLibrary/DeleteLibPerson</x:v>
      </x:c>
      <x:c r="C154" s="9" t="str">
        <x:v>kAuth</x:v>
      </x:c>
      <x:c r="D154" s="9" t="str">
        <x:v>UNIFORM</x:v>
      </x:c>
      <x:c r="E154" s="9" t="str">
        <x:v>UNIFORM-001、UNIFORM-002、UNIFORM-003、UNIFORM-004、UNIFORM-005、UNIFORM-006、UNIFORM-007、UNIFORM-008</x:v>
      </x:c>
      <x:c r="F154" s="9" t="str">
        <x:v>API-001；API-002（每路由独立请求夹具）</x:v>
      </x:c>
      <x:c r="G154" s="9" t="str">
        <x:v>含写操作/生命周期；按具体契约执行</x:v>
      </x:c>
      <x:c r="H154" s="9" t="str">
        <x:v>src/api/ApiRouterRoutes.cc:254</x:v>
      </x:c>
      <x:c r="I154" s="9" t="str">
        <x:v>未执行</x:v>
      </x:c>
      <x:c r="J154" s="12" t="str"/>
    </x:row>
    <x:row r="155" ht="32" customHeight="1">
      <x:c r="A155" s="4" t="str">
        <x:v>APIREF-151</x:v>
      </x:c>
      <x:c r="B155" s="4" t="str">
        <x:v>/gtw/cwai/BodyLibrary/DetectPerson</x:v>
      </x:c>
      <x:c r="C155" s="4" t="str">
        <x:v>kAuth</x:v>
      </x:c>
      <x:c r="D155" s="4" t="str">
        <x:v>UNIFORM</x:v>
      </x:c>
      <x:c r="E155" s="4" t="str">
        <x:v>UNIFORM-001、UNIFORM-002、UNIFORM-003、UNIFORM-004、UNIFORM-005、UNIFORM-006、UNIFORM-007、UNIFORM-008</x:v>
      </x:c>
      <x:c r="F155" s="4" t="str">
        <x:v>API-001；API-002（每路由独立请求夹具）</x:v>
      </x:c>
      <x:c r="G155" s="4" t="str">
        <x:v>含写操作/生命周期；按具体契约执行</x:v>
      </x:c>
      <x:c r="H155" s="4" t="str">
        <x:v>src/api/ApiRouterRoutes.cc:255</x:v>
      </x:c>
      <x:c r="I155" s="4" t="str">
        <x:v>未执行</x:v>
      </x:c>
      <x:c r="J155" s="12" t="str"/>
    </x:row>
    <x:row r="156" ht="32" customHeight="1">
      <x:c r="A156" s="9" t="str">
        <x:v>APIREF-152</x:v>
      </x:c>
      <x:c r="B156" s="9" t="str">
        <x:v>/gtw/cwai/BodyLibrary/GetPersonPicture</x:v>
      </x:c>
      <x:c r="C156" s="9" t="str">
        <x:v>kAuth</x:v>
      </x:c>
      <x:c r="D156" s="9" t="str">
        <x:v>UNIFORM</x:v>
      </x:c>
      <x:c r="E156" s="9" t="str">
        <x:v>UNIFORM-001、UNIFORM-002、UNIFORM-003、UNIFORM-004、UNIFORM-005、UNIFORM-006、UNIFORM-007、UNIFORM-008</x:v>
      </x:c>
      <x:c r="F156" s="9" t="str">
        <x:v>API-001；API-002（每路由独立请求夹具）</x:v>
      </x:c>
      <x:c r="G156" s="9" t="str">
        <x:v>只读</x:v>
      </x:c>
      <x:c r="H156" s="9" t="str">
        <x:v>src/api/ApiRouterRoutes.cc:256</x:v>
      </x:c>
      <x:c r="I156" s="9" t="str">
        <x:v>未执行</x:v>
      </x:c>
      <x:c r="J156" s="12" t="str"/>
    </x:row>
    <x:row r="157" ht="32" customHeight="1">
      <x:c r="A157" s="4" t="str">
        <x:v>APIREF-153</x:v>
      </x:c>
      <x:c r="B157" s="4" t="str">
        <x:v>/gtw/cwai/ThingsLibrary/ModifyThingsLib</x:v>
      </x:c>
      <x:c r="C157" s="4" t="str">
        <x:v>kAuth</x:v>
      </x:c>
      <x:c r="D157" s="4" t="str">
        <x:v>ITEM</x:v>
      </x:c>
      <x:c r="E157" s="4" t="str">
        <x:v>ITEM-001、ITEM-002</x:v>
      </x:c>
      <x:c r="F157" s="4" t="str">
        <x:v>API-001；API-002（每路由独立请求夹具）</x:v>
      </x:c>
      <x:c r="G157" s="4" t="str">
        <x:v>含写操作/生命周期；按具体契约执行</x:v>
      </x:c>
      <x:c r="H157" s="4" t="str">
        <x:v>src/api/ApiRouterRoutes.cc:259</x:v>
      </x:c>
      <x:c r="I157" s="4" t="str">
        <x:v>未执行</x:v>
      </x:c>
      <x:c r="J157" s="12" t="str"/>
    </x:row>
    <x:row r="158" ht="32" customHeight="1">
      <x:c r="A158" s="9" t="str">
        <x:v>APIREF-154</x:v>
      </x:c>
      <x:c r="B158" s="9" t="str">
        <x:v>/gtw/cwai/ThingsLibrary/DeleteThingsLib</x:v>
      </x:c>
      <x:c r="C158" s="9" t="str">
        <x:v>kAuth</x:v>
      </x:c>
      <x:c r="D158" s="9" t="str">
        <x:v>ITEM</x:v>
      </x:c>
      <x:c r="E158" s="9" t="str">
        <x:v>ITEM-001、ITEM-002</x:v>
      </x:c>
      <x:c r="F158" s="9" t="str">
        <x:v>API-001；API-002（每路由独立请求夹具）</x:v>
      </x:c>
      <x:c r="G158" s="9" t="str">
        <x:v>含写操作/生命周期；按具体契约执行</x:v>
      </x:c>
      <x:c r="H158" s="9" t="str">
        <x:v>src/api/ApiRouterRoutes.cc:260</x:v>
      </x:c>
      <x:c r="I158" s="9" t="str">
        <x:v>未执行</x:v>
      </x:c>
      <x:c r="J158" s="12" t="str"/>
    </x:row>
    <x:row r="159" ht="32" customHeight="1">
      <x:c r="A159" s="4" t="str">
        <x:v>APIREF-155</x:v>
      </x:c>
      <x:c r="B159" s="4" t="str">
        <x:v>/gtw/cwai/ThingsLibrary/QueryThingsLibInfo</x:v>
      </x:c>
      <x:c r="C159" s="4" t="str">
        <x:v>kAuth</x:v>
      </x:c>
      <x:c r="D159" s="4" t="str">
        <x:v>ITEM</x:v>
      </x:c>
      <x:c r="E159" s="4" t="str">
        <x:v>ITEM-001、ITEM-002</x:v>
      </x:c>
      <x:c r="F159" s="4" t="str">
        <x:v>API-001；API-002（每路由独立请求夹具）</x:v>
      </x:c>
      <x:c r="G159" s="4" t="str">
        <x:v>只读</x:v>
      </x:c>
      <x:c r="H159" s="4" t="str">
        <x:v>src/api/ApiRouterRoutes.cc:261</x:v>
      </x:c>
      <x:c r="I159" s="4" t="str">
        <x:v>未执行</x:v>
      </x:c>
      <x:c r="J159" s="12" t="str"/>
    </x:row>
    <x:row r="160" ht="32" customHeight="1">
      <x:c r="A160" s="9" t="str">
        <x:v>APIREF-156</x:v>
      </x:c>
      <x:c r="B160" s="9" t="str">
        <x:v>/gtw/cwai/ThingsLibrary/QueryThingsPictures</x:v>
      </x:c>
      <x:c r="C160" s="9" t="str">
        <x:v>kAuth</x:v>
      </x:c>
      <x:c r="D160" s="9" t="str">
        <x:v>ITEM</x:v>
      </x:c>
      <x:c r="E160" s="9" t="str">
        <x:v>ITEM-001、ITEM-002</x:v>
      </x:c>
      <x:c r="F160" s="9" t="str">
        <x:v>API-001；API-002（每路由独立请求夹具）</x:v>
      </x:c>
      <x:c r="G160" s="9" t="str">
        <x:v>只读</x:v>
      </x:c>
      <x:c r="H160" s="9" t="str">
        <x:v>src/api/ApiRouterRoutes.cc:262</x:v>
      </x:c>
      <x:c r="I160" s="9" t="str">
        <x:v>未执行</x:v>
      </x:c>
      <x:c r="J160" s="12" t="str"/>
    </x:row>
    <x:row r="161" ht="32" customHeight="1">
      <x:c r="A161" s="4" t="str">
        <x:v>APIREF-157</x:v>
      </x:c>
      <x:c r="B161" s="4" t="str">
        <x:v>/gtw/cwai/ThingsLibrary/GetThingsPicture</x:v>
      </x:c>
      <x:c r="C161" s="4" t="str">
        <x:v>kAuth</x:v>
      </x:c>
      <x:c r="D161" s="4" t="str">
        <x:v>ITEM</x:v>
      </x:c>
      <x:c r="E161" s="4" t="str">
        <x:v>ITEM-001、ITEM-002</x:v>
      </x:c>
      <x:c r="F161" s="4" t="str">
        <x:v>API-001；API-002（每路由独立请求夹具）</x:v>
      </x:c>
      <x:c r="G161" s="4" t="str">
        <x:v>只读</x:v>
      </x:c>
      <x:c r="H161" s="4" t="str">
        <x:v>src/api/ApiRouterRoutes.cc:263</x:v>
      </x:c>
      <x:c r="I161" s="4" t="str">
        <x:v>未执行</x:v>
      </x:c>
      <x:c r="J161" s="12" t="str"/>
    </x:row>
    <x:row r="162" ht="32" customHeight="1">
      <x:c r="A162" s="9" t="str">
        <x:v>APIREF-158</x:v>
      </x:c>
      <x:c r="B162" s="9" t="str">
        <x:v>/gtw/cwai/ThingsLibrary/AddLibThings</x:v>
      </x:c>
      <x:c r="C162" s="9" t="str">
        <x:v>kAuth</x:v>
      </x:c>
      <x:c r="D162" s="9" t="str">
        <x:v>ITEM</x:v>
      </x:c>
      <x:c r="E162" s="9" t="str">
        <x:v>ITEM-001、ITEM-002</x:v>
      </x:c>
      <x:c r="F162" s="9" t="str">
        <x:v>API-001；API-002（每路由独立请求夹具）</x:v>
      </x:c>
      <x:c r="G162" s="9" t="str">
        <x:v>含写操作/生命周期；按具体契约执行</x:v>
      </x:c>
      <x:c r="H162" s="9" t="str">
        <x:v>src/api/ApiRouterRoutes.cc:264</x:v>
      </x:c>
      <x:c r="I162" s="9" t="str">
        <x:v>未执行</x:v>
      </x:c>
      <x:c r="J162" s="12" t="str"/>
    </x:row>
    <x:row r="163" ht="32" customHeight="1">
      <x:c r="A163" s="4" t="str">
        <x:v>APIREF-159</x:v>
      </x:c>
      <x:c r="B163" s="4" t="str">
        <x:v>/gtw/cwai/ThingsLibrary/BindTaskThingsLib</x:v>
      </x:c>
      <x:c r="C163" s="4" t="str">
        <x:v>kAuth</x:v>
      </x:c>
      <x:c r="D163" s="4" t="str">
        <x:v>ITEM</x:v>
      </x:c>
      <x:c r="E163" s="4" t="str">
        <x:v>ITEM-001、ITEM-002</x:v>
      </x:c>
      <x:c r="F163" s="4" t="str">
        <x:v>API-001；API-002（每路由独立请求夹具）</x:v>
      </x:c>
      <x:c r="G163" s="4" t="str">
        <x:v>含写操作/生命周期；按具体契约执行</x:v>
      </x:c>
      <x:c r="H163" s="4" t="str">
        <x:v>src/api/ApiRouterRoutes.cc:265</x:v>
      </x:c>
      <x:c r="I163" s="4" t="str">
        <x:v>未执行</x:v>
      </x:c>
      <x:c r="J163" s="12" t="str"/>
    </x:row>
    <x:row r="164" ht="32" customHeight="1">
      <x:c r="A164" s="9" t="str">
        <x:v>APIREF-160</x:v>
      </x:c>
      <x:c r="B164" s="9" t="str">
        <x:v>/gtw/cwai/ThingsLibrary/DeleteLibThings</x:v>
      </x:c>
      <x:c r="C164" s="9" t="str">
        <x:v>kAuth</x:v>
      </x:c>
      <x:c r="D164" s="9" t="str">
        <x:v>ITEM</x:v>
      </x:c>
      <x:c r="E164" s="9" t="str">
        <x:v>ITEM-001、ITEM-002</x:v>
      </x:c>
      <x:c r="F164" s="9" t="str">
        <x:v>API-001；API-002（每路由独立请求夹具）</x:v>
      </x:c>
      <x:c r="G164" s="9" t="str">
        <x:v>含写操作/生命周期；按具体契约执行</x:v>
      </x:c>
      <x:c r="H164" s="9" t="str">
        <x:v>src/api/ApiRouterRoutes.cc:266</x:v>
      </x:c>
      <x:c r="I164" s="9" t="str">
        <x:v>未执行</x:v>
      </x:c>
      <x:c r="J164" s="12" t="str"/>
    </x:row>
    <x:row r="165" ht="40" customHeight="1">
      <x:c r="A165" s="4" t="str">
        <x:v>APIREF-161</x:v>
      </x:c>
      <x:c r="B165" s="4" t="str">
        <x:v>/gtw/cwai/File/ImportFile</x:v>
      </x:c>
      <x:c r="C165" s="4" t="str">
        <x:v>kAuth</x:v>
      </x:c>
      <x:c r="D165" s="4" t="str">
        <x:v>FACE</x:v>
      </x:c>
      <x:c r="E165" s="4" t="str">
        <x:v>FACE-001、FACE-002、FACE-003、FACE-004、FACE-005、FACE-006、FACE-007、FACE-008、FACE-009、FACE-010、FACE-011、FACE-012、FACE-013</x:v>
      </x:c>
      <x:c r="F165" s="4" t="str">
        <x:v>API-001；API-002（每路由独立请求夹具）</x:v>
      </x:c>
      <x:c r="G165" s="4" t="str">
        <x:v>含写操作/生命周期；按具体契约执行</x:v>
      </x:c>
      <x:c r="H165" s="4" t="str">
        <x:v>src/api/ApiRouterRoutes.cc:271</x:v>
      </x:c>
      <x:c r="I165" s="4" t="str">
        <x:v>未执行</x:v>
      </x:c>
      <x:c r="J165" s="12" t="str"/>
    </x:row>
    <x:row r="166" ht="40" customHeight="1">
      <x:c r="A166" s="9" t="str">
        <x:v>APIREF-162</x:v>
      </x:c>
      <x:c r="B166" s="9" t="str">
        <x:v>/gtw/cwai/File/QueryImportStatus</x:v>
      </x:c>
      <x:c r="C166" s="9" t="str">
        <x:v>kAuth</x:v>
      </x:c>
      <x:c r="D166" s="9" t="str">
        <x:v>FACE</x:v>
      </x:c>
      <x:c r="E166" s="9" t="str">
        <x:v>FACE-001、FACE-002、FACE-003、FACE-004、FACE-005、FACE-006、FACE-007、FACE-008、FACE-009、FACE-010、FACE-011、FACE-012、FACE-013</x:v>
      </x:c>
      <x:c r="F166" s="9" t="str">
        <x:v>API-001；API-002（每路由独立请求夹具）</x:v>
      </x:c>
      <x:c r="G166" s="9" t="str">
        <x:v>只读</x:v>
      </x:c>
      <x:c r="H166" s="9" t="str">
        <x:v>src/api/ApiRouterRoutes.cc:272</x:v>
      </x:c>
      <x:c r="I166" s="9" t="str">
        <x:v>未执行</x:v>
      </x:c>
      <x:c r="J166" s="12" t="str"/>
    </x:row>
    <x:row r="167" ht="32" customHeight="1">
      <x:c r="A167" s="4" t="str">
        <x:v>APIREF-163</x:v>
      </x:c>
      <x:c r="B167" s="4" t="str">
        <x:v>/gtw/cwai/Audio/QueryAudioFile</x:v>
      </x:c>
      <x:c r="C167" s="4" t="str">
        <x:v>kAuth</x:v>
      </x:c>
      <x:c r="D167" s="4" t="str">
        <x:v>AUDIO</x:v>
      </x:c>
      <x:c r="E167" s="4" t="str">
        <x:v>AUDIO-001、AUDIO-002、AUDIO-003、AUDIO-004、AUDIO-005、AUDIO-006</x:v>
      </x:c>
      <x:c r="F167" s="4" t="str">
        <x:v>API-001；API-002（每路由独立请求夹具）</x:v>
      </x:c>
      <x:c r="G167" s="4" t="str">
        <x:v>只读</x:v>
      </x:c>
      <x:c r="H167" s="4" t="str">
        <x:v>src/api/ApiRouterRoutes.cc:277</x:v>
      </x:c>
      <x:c r="I167" s="4" t="str">
        <x:v>未执行</x:v>
      </x:c>
      <x:c r="J167" s="12" t="str"/>
    </x:row>
    <x:row r="168" ht="32" customHeight="1">
      <x:c r="A168" s="9" t="str">
        <x:v>APIREF-164</x:v>
      </x:c>
      <x:c r="B168" s="9" t="str">
        <x:v>/gtw/cwai/Audio/DeleteAudioFile</x:v>
      </x:c>
      <x:c r="C168" s="9" t="str">
        <x:v>kAuth</x:v>
      </x:c>
      <x:c r="D168" s="9" t="str">
        <x:v>AUDIO</x:v>
      </x:c>
      <x:c r="E168" s="9" t="str">
        <x:v>AUDIO-001、AUDIO-002、AUDIO-003、AUDIO-004、AUDIO-005、AUDIO-006</x:v>
      </x:c>
      <x:c r="F168" s="9" t="str">
        <x:v>API-001；API-002（每路由独立请求夹具）</x:v>
      </x:c>
      <x:c r="G168" s="9" t="str">
        <x:v>含写操作/生命周期；按具体契约执行</x:v>
      </x:c>
      <x:c r="H168" s="9" t="str">
        <x:v>src/api/ApiRouterRoutes.cc:278</x:v>
      </x:c>
      <x:c r="I168" s="9" t="str">
        <x:v>未执行</x:v>
      </x:c>
      <x:c r="J168" s="12" t="str"/>
    </x:row>
    <x:row r="169" ht="32" customHeight="1">
      <x:c r="A169" s="4" t="str">
        <x:v>APIREF-165</x:v>
      </x:c>
      <x:c r="B169" s="4" t="str">
        <x:v>/gtw/cwai/Audio/ModifyAudioDevice</x:v>
      </x:c>
      <x:c r="C169" s="4" t="str">
        <x:v>kAuth</x:v>
      </x:c>
      <x:c r="D169" s="4" t="str">
        <x:v>AUDIO</x:v>
      </x:c>
      <x:c r="E169" s="4" t="str">
        <x:v>AUDIO-001、AUDIO-002、AUDIO-003、AUDIO-004、AUDIO-005、AUDIO-006</x:v>
      </x:c>
      <x:c r="F169" s="4" t="str">
        <x:v>API-001；API-002（每路由独立请求夹具）</x:v>
      </x:c>
      <x:c r="G169" s="4" t="str">
        <x:v>含写操作/生命周期；按具体契约执行</x:v>
      </x:c>
      <x:c r="H169" s="4" t="str">
        <x:v>src/api/ApiRouterRoutes.cc:279</x:v>
      </x:c>
      <x:c r="I169" s="4" t="str">
        <x:v>未执行</x:v>
      </x:c>
      <x:c r="J169" s="12" t="str"/>
    </x:row>
    <x:row r="170" ht="32" customHeight="1">
      <x:c r="A170" s="9" t="str">
        <x:v>APIREF-166</x:v>
      </x:c>
      <x:c r="B170" s="9" t="str">
        <x:v>/gtw/cwai/Audio/QueryAudioDevice</x:v>
      </x:c>
      <x:c r="C170" s="9" t="str">
        <x:v>kAuth</x:v>
      </x:c>
      <x:c r="D170" s="9" t="str">
        <x:v>AUDIO</x:v>
      </x:c>
      <x:c r="E170" s="9" t="str">
        <x:v>AUDIO-001、AUDIO-002、AUDIO-003、AUDIO-004、AUDIO-005、AUDIO-006</x:v>
      </x:c>
      <x:c r="F170" s="9" t="str">
        <x:v>API-001；API-002（每路由独立请求夹具）</x:v>
      </x:c>
      <x:c r="G170" s="9" t="str">
        <x:v>只读</x:v>
      </x:c>
      <x:c r="H170" s="9" t="str">
        <x:v>src/api/ApiRouterRoutes.cc:280</x:v>
      </x:c>
      <x:c r="I170" s="9" t="str">
        <x:v>未执行</x:v>
      </x:c>
      <x:c r="J170" s="12" t="str"/>
    </x:row>
    <x:row r="171" ht="32" customHeight="1">
      <x:c r="A171" s="4" t="str">
        <x:v>APIREF-167</x:v>
      </x:c>
      <x:c r="B171" s="4" t="str">
        <x:v>/gtw/cwai/Audio/DeleteAudioDevice</x:v>
      </x:c>
      <x:c r="C171" s="4" t="str">
        <x:v>kAuth</x:v>
      </x:c>
      <x:c r="D171" s="4" t="str">
        <x:v>AUDIO</x:v>
      </x:c>
      <x:c r="E171" s="4" t="str">
        <x:v>AUDIO-001、AUDIO-002、AUDIO-003、AUDIO-004、AUDIO-005、AUDIO-006</x:v>
      </x:c>
      <x:c r="F171" s="4" t="str">
        <x:v>API-001；API-002（每路由独立请求夹具）</x:v>
      </x:c>
      <x:c r="G171" s="4" t="str">
        <x:v>含写操作/生命周期；按具体契约执行</x:v>
      </x:c>
      <x:c r="H171" s="4" t="str">
        <x:v>src/api/ApiRouterRoutes.cc:281</x:v>
      </x:c>
      <x:c r="I171" s="4" t="str">
        <x:v>未执行</x:v>
      </x:c>
      <x:c r="J171" s="12" t="str"/>
    </x:row>
    <x:row r="172" ht="32" customHeight="1">
      <x:c r="A172" s="9" t="str">
        <x:v>APIREF-168</x:v>
      </x:c>
      <x:c r="B172" s="9" t="str">
        <x:v>/gtw/cwai/Audio/TestAudioDevice</x:v>
      </x:c>
      <x:c r="C172" s="9" t="str">
        <x:v>kAuth</x:v>
      </x:c>
      <x:c r="D172" s="9" t="str">
        <x:v>AUDIO</x:v>
      </x:c>
      <x:c r="E172" s="9" t="str">
        <x:v>AUDIO-001、AUDIO-002、AUDIO-003、AUDIO-004、AUDIO-005、AUDIO-006</x:v>
      </x:c>
      <x:c r="F172" s="9" t="str">
        <x:v>API-001；API-002（每路由独立请求夹具）</x:v>
      </x:c>
      <x:c r="G172" s="9" t="str">
        <x:v>含写操作/生命周期；按具体契约执行</x:v>
      </x:c>
      <x:c r="H172" s="9" t="str">
        <x:v>src/api/ApiRouterRoutes.cc:282</x:v>
      </x:c>
      <x:c r="I172" s="9" t="str">
        <x:v>未执行</x:v>
      </x:c>
      <x:c r="J172" s="12" t="str"/>
    </x:row>
    <x:row r="173" ht="32" customHeight="1">
      <x:c r="A173" s="4" t="str">
        <x:v>APIREF-169</x:v>
      </x:c>
      <x:c r="B173" s="4" t="str">
        <x:v>/gtw/cwai/AlarmStrage/Storages</x:v>
      </x:c>
      <x:c r="C173" s="4" t="str">
        <x:v>kAuth</x:v>
      </x:c>
      <x:c r="D173" s="4" t="str">
        <x:v>AUDIO</x:v>
      </x:c>
      <x:c r="E173" s="4" t="str">
        <x:v>AUDIO-001、AUDIO-002、AUDIO-003、AUDIO-004、AUDIO-005、AUDIO-006</x:v>
      </x:c>
      <x:c r="F173" s="4" t="str">
        <x:v>API-001；API-002（每路由独立请求夹具）</x:v>
      </x:c>
      <x:c r="G173" s="4" t="str">
        <x:v>只读</x:v>
      </x:c>
      <x:c r="H173" s="4" t="str">
        <x:v>src/api/ApiRouterRoutes.cc:287</x:v>
      </x:c>
      <x:c r="I173" s="4" t="str">
        <x:v>未执行</x:v>
      </x:c>
      <x:c r="J173" s="12" t="str"/>
    </x:row>
    <x:row r="174" ht="32" customHeight="1">
      <x:c r="A174" s="9" t="str">
        <x:v>APIREF-170</x:v>
      </x:c>
      <x:c r="B174" s="9" t="str">
        <x:v>/gtw/cwai/AlarmStrage/Add</x:v>
      </x:c>
      <x:c r="C174" s="9" t="str">
        <x:v>kAuth</x:v>
      </x:c>
      <x:c r="D174" s="9" t="str">
        <x:v>AUDIO</x:v>
      </x:c>
      <x:c r="E174" s="9" t="str">
        <x:v>AUDIO-001、AUDIO-002、AUDIO-003、AUDIO-004、AUDIO-005、AUDIO-006</x:v>
      </x:c>
      <x:c r="F174" s="9" t="str">
        <x:v>API-001；API-002（每路由独立请求夹具）</x:v>
      </x:c>
      <x:c r="G174" s="9" t="str">
        <x:v>含写操作/生命周期；按具体契约执行</x:v>
      </x:c>
      <x:c r="H174" s="9" t="str">
        <x:v>src/api/ApiRouterRoutes.cc:288</x:v>
      </x:c>
      <x:c r="I174" s="9" t="str">
        <x:v>未执行</x:v>
      </x:c>
      <x:c r="J174" s="12" t="str"/>
    </x:row>
    <x:row r="175" ht="32" customHeight="1">
      <x:c r="A175" s="4" t="str">
        <x:v>APIREF-171</x:v>
      </x:c>
      <x:c r="B175" s="4" t="str">
        <x:v>/gtw/cwai/AlarmStrage/Delete</x:v>
      </x:c>
      <x:c r="C175" s="4" t="str">
        <x:v>kAuth</x:v>
      </x:c>
      <x:c r="D175" s="4" t="str">
        <x:v>AUDIO</x:v>
      </x:c>
      <x:c r="E175" s="4" t="str">
        <x:v>AUDIO-001、AUDIO-002、AUDIO-003、AUDIO-004、AUDIO-005、AUDIO-006</x:v>
      </x:c>
      <x:c r="F175" s="4" t="str">
        <x:v>API-001；API-002（每路由独立请求夹具）</x:v>
      </x:c>
      <x:c r="G175" s="4" t="str">
        <x:v>含写操作/生命周期；按具体契约执行</x:v>
      </x:c>
      <x:c r="H175" s="4" t="str">
        <x:v>src/api/ApiRouterRoutes.cc:289</x:v>
      </x:c>
      <x:c r="I175" s="4" t="str">
        <x:v>未执行</x:v>
      </x:c>
      <x:c r="J175" s="12" t="str"/>
    </x:row>
    <x:row r="176" ht="32" customHeight="1">
      <x:c r="A176" s="9" t="str">
        <x:v>APIREF-172</x:v>
      </x:c>
      <x:c r="B176" s="9" t="str">
        <x:v>/gtw/cwai/AlarmStrage/Update</x:v>
      </x:c>
      <x:c r="C176" s="9" t="str">
        <x:v>kAuth</x:v>
      </x:c>
      <x:c r="D176" s="9" t="str">
        <x:v>AUDIO</x:v>
      </x:c>
      <x:c r="E176" s="9" t="str">
        <x:v>AUDIO-001、AUDIO-002、AUDIO-003、AUDIO-004、AUDIO-005、AUDIO-006</x:v>
      </x:c>
      <x:c r="F176" s="9" t="str">
        <x:v>API-001；API-002（每路由独立请求夹具）</x:v>
      </x:c>
      <x:c r="G176" s="9" t="str">
        <x:v>含写操作/生命周期；按具体契约执行</x:v>
      </x:c>
      <x:c r="H176" s="9" t="str">
        <x:v>src/api/ApiRouterRoutes.cc:290</x:v>
      </x:c>
      <x:c r="I176" s="9" t="str">
        <x:v>未执行</x:v>
      </x:c>
      <x:c r="J176" s="12" t="str"/>
    </x:row>
    <x:row r="177" ht="32" customHeight="1">
      <x:c r="A177" s="4" t="str">
        <x:v>APIREF-173</x:v>
      </x:c>
      <x:c r="B177" s="4" t="str">
        <x:v>/gtw/cwai/AlarmStrage/Page</x:v>
      </x:c>
      <x:c r="C177" s="4" t="str">
        <x:v>kAuth</x:v>
      </x:c>
      <x:c r="D177" s="4" t="str">
        <x:v>AUDIO</x:v>
      </x:c>
      <x:c r="E177" s="4" t="str">
        <x:v>AUDIO-001、AUDIO-002、AUDIO-003、AUDIO-004、AUDIO-005、AUDIO-006</x:v>
      </x:c>
      <x:c r="F177" s="4" t="str">
        <x:v>API-001；API-002（每路由独立请求夹具）</x:v>
      </x:c>
      <x:c r="G177" s="4" t="str">
        <x:v>只读</x:v>
      </x:c>
      <x:c r="H177" s="4" t="str">
        <x:v>src/api/ApiRouterRoutes.cc:291</x:v>
      </x:c>
      <x:c r="I177" s="4" t="str">
        <x:v>未执行</x:v>
      </x:c>
      <x:c r="J177" s="12" t="str"/>
    </x:row>
    <x:row r="178" ht="32" customHeight="1">
      <x:c r="A178" s="9" t="str">
        <x:v>APIREF-174</x:v>
      </x:c>
      <x:c r="B178" s="9" t="str">
        <x:v>/gtw/cwai/AlarmStrage/Switch</x:v>
      </x:c>
      <x:c r="C178" s="9" t="str">
        <x:v>kAuth</x:v>
      </x:c>
      <x:c r="D178" s="9" t="str">
        <x:v>AUDIO</x:v>
      </x:c>
      <x:c r="E178" s="9" t="str">
        <x:v>AUDIO-001、AUDIO-002、AUDIO-003、AUDIO-004、AUDIO-005、AUDIO-006</x:v>
      </x:c>
      <x:c r="F178" s="9" t="str">
        <x:v>API-001；API-002（每路由独立请求夹具）</x:v>
      </x:c>
      <x:c r="G178" s="9" t="str">
        <x:v>含写操作/生命周期；按具体契约执行</x:v>
      </x:c>
      <x:c r="H178" s="9" t="str">
        <x:v>src/api/ApiRouterRoutes.cc:292</x:v>
      </x:c>
      <x:c r="I178" s="9" t="str">
        <x:v>未执行</x:v>
      </x:c>
      <x:c r="J178" s="12" t="str"/>
    </x:row>
    <x:row r="179" ht="32" customHeight="1">
      <x:c r="A179" s="4" t="str">
        <x:v>APIREF-175</x:v>
      </x:c>
      <x:c r="B179" s="4" t="str">
        <x:v>/gtw/cwai/LiveStream/RequestLiveStream</x:v>
      </x:c>
      <x:c r="C179" s="4" t="str">
        <x:v>kAuth</x:v>
      </x:c>
      <x:c r="D179" s="4" t="str">
        <x:v>LIVE</x:v>
      </x:c>
      <x:c r="E179" s="4" t="str">
        <x:v>LIVE-001、LIVE-002、LIVE-003、LIVE-004、LIVE-005、LIVE-006、LIVE-007</x:v>
      </x:c>
      <x:c r="F179" s="4" t="str">
        <x:v>API-001；API-002（每路由独立请求夹具）</x:v>
      </x:c>
      <x:c r="G179" s="4" t="str">
        <x:v>含写操作/生命周期；按具体契约执行</x:v>
      </x:c>
      <x:c r="H179" s="4" t="str">
        <x:v>src/api/ApiRouterRoutes.cc:297</x:v>
      </x:c>
      <x:c r="I179" s="4" t="str">
        <x:v>未执行</x:v>
      </x:c>
      <x:c r="J179" s="12" t="str"/>
    </x:row>
    <x:row r="180" ht="32" customHeight="1">
      <x:c r="A180" s="9" t="str">
        <x:v>APIREF-176</x:v>
      </x:c>
      <x:c r="B180" s="9" t="str">
        <x:v>/gtw/cwai/LiveStream/StreamKeepAlive</x:v>
      </x:c>
      <x:c r="C180" s="9" t="str">
        <x:v>kAuth</x:v>
      </x:c>
      <x:c r="D180" s="9" t="str">
        <x:v>LIVE</x:v>
      </x:c>
      <x:c r="E180" s="9" t="str">
        <x:v>LIVE-001、LIVE-002、LIVE-003、LIVE-004、LIVE-005、LIVE-006、LIVE-007</x:v>
      </x:c>
      <x:c r="F180" s="9" t="str">
        <x:v>API-001；API-002（每路由独立请求夹具）</x:v>
      </x:c>
      <x:c r="G180" s="9" t="str">
        <x:v>含写操作/生命周期；按具体契约执行</x:v>
      </x:c>
      <x:c r="H180" s="9" t="str">
        <x:v>src/api/ApiRouterRoutes.cc:298</x:v>
      </x:c>
      <x:c r="I180" s="9" t="str">
        <x:v>未执行</x:v>
      </x:c>
      <x:c r="J180" s="12" t="str"/>
    </x:row>
    <x:row r="181" ht="32" customHeight="1">
      <x:c r="A181" s="4" t="str">
        <x:v>APIREF-177</x:v>
      </x:c>
      <x:c r="B181" s="4" t="str">
        <x:v>/gtw/cwai/LiveStream/StreamStop</x:v>
      </x:c>
      <x:c r="C181" s="4" t="str">
        <x:v>kAuth</x:v>
      </x:c>
      <x:c r="D181" s="4" t="str">
        <x:v>LIVE</x:v>
      </x:c>
      <x:c r="E181" s="4" t="str">
        <x:v>LIVE-001、LIVE-002、LIVE-003、LIVE-004、LIVE-005、LIVE-006、LIVE-007</x:v>
      </x:c>
      <x:c r="F181" s="4" t="str">
        <x:v>API-001；API-002（每路由独立请求夹具）</x:v>
      </x:c>
      <x:c r="G181" s="4" t="str">
        <x:v>含写操作/生命周期；按具体契约执行</x:v>
      </x:c>
      <x:c r="H181" s="4" t="str">
        <x:v>src/api/ApiRouterRoutes.cc:299</x:v>
      </x:c>
      <x:c r="I181" s="4" t="str">
        <x:v>未执行</x:v>
      </x:c>
      <x:c r="J181" s="12" t="str"/>
    </x:row>
    <x:row r="182" ht="32" customHeight="1">
      <x:c r="A182" s="9" t="str">
        <x:v>APIREF-178</x:v>
      </x:c>
      <x:c r="B182" s="9" t="str">
        <x:v>/gtw/cwai/Onboarding/Status</x:v>
      </x:c>
      <x:c r="C182" s="9" t="str">
        <x:v>kNoAuth</x:v>
      </x:c>
      <x:c r="D182" s="9" t="str">
        <x:v>AUTH</x:v>
      </x:c>
      <x:c r="E182" s="9" t="str">
        <x:v>AUTH-001、AUTH-002、AUTH-003、AUTH-004、AUTH-005、AUTH-006、AUTH-007、AUTH-008</x:v>
      </x:c>
      <x:c r="F182" s="9" t="str">
        <x:v>API-001；API-002（每路由独立请求夹具）</x:v>
      </x:c>
      <x:c r="G182" s="9" t="str">
        <x:v>只读</x:v>
      </x:c>
      <x:c r="H182" s="9" t="str">
        <x:v>src/api/ApiRouterRoutes.cc:304</x:v>
      </x:c>
      <x:c r="I182" s="9" t="str">
        <x:v>未执行</x:v>
      </x:c>
      <x:c r="J182" s="12" t="str"/>
    </x:row>
    <x:row r="183" ht="32" customHeight="1">
      <x:c r="A183" s="4" t="str">
        <x:v>APIREF-179</x:v>
      </x:c>
      <x:c r="B183" s="4" t="str">
        <x:v>/gtw/cwai/Onboarding/Complete</x:v>
      </x:c>
      <x:c r="C183" s="4" t="str">
        <x:v>kNoAuth</x:v>
      </x:c>
      <x:c r="D183" s="4" t="str">
        <x:v>AUTH</x:v>
      </x:c>
      <x:c r="E183" s="4" t="str">
        <x:v>AUTH-001、AUTH-002、AUTH-003、AUTH-004、AUTH-005、AUTH-006、AUTH-007、AUTH-008</x:v>
      </x:c>
      <x:c r="F183" s="4" t="str">
        <x:v>API-001；API-002（每路由独立请求夹具）</x:v>
      </x:c>
      <x:c r="G183" s="4" t="str">
        <x:v>含写操作/生命周期；按具体契约执行</x:v>
      </x:c>
      <x:c r="H183" s="4" t="str">
        <x:v>src/api/ApiRouterRoutes.cc:305</x:v>
      </x:c>
      <x:c r="I183" s="4" t="str">
        <x:v>未执行</x:v>
      </x:c>
      <x:c r="J183" s="12" t="str"/>
    </x:row>
    <x:row r="184" ht="32" customHeight="1">
      <x:c r="A184" s="9" t="str">
        <x:v>APIREF-180</x:v>
      </x:c>
      <x:c r="B184" s="9" t="str">
        <x:v>/gtw/cwai/Onboarding/Reset</x:v>
      </x:c>
      <x:c r="C184" s="9" t="str">
        <x:v>kAuth</x:v>
      </x:c>
      <x:c r="D184" s="9" t="str">
        <x:v>AUTH</x:v>
      </x:c>
      <x:c r="E184" s="9" t="str">
        <x:v>AUTH-001、AUTH-002、AUTH-003、AUTH-004、AUTH-005、AUTH-006、AUTH-007、AUTH-008</x:v>
      </x:c>
      <x:c r="F184" s="9" t="str">
        <x:v>API-001；API-002（每路由独立请求夹具）</x:v>
      </x:c>
      <x:c r="G184" s="9" t="str">
        <x:v>含写操作/生命周期；按具体契约执行</x:v>
      </x:c>
      <x:c r="H184" s="9" t="str">
        <x:v>src/api/ApiRouterRoutes.cc:306</x:v>
      </x:c>
      <x:c r="I184" s="9" t="str">
        <x:v>未执行</x:v>
      </x:c>
      <x:c r="J184" s="12" t="str"/>
    </x:row>
    <x:row r="185" ht="40" customHeight="1">
      <x:c r="A185" s="4" t="str">
        <x:v>APIREF-181</x:v>
      </x:c>
      <x:c r="B185" s="4" t="str">
        <x:v>/gtw/cwai/atomic/Model/UploadTemp</x:v>
      </x:c>
      <x:c r="C185" s="4" t="str">
        <x:v>kAuth</x:v>
      </x:c>
      <x:c r="D185" s="4" t="str">
        <x:v>MODEL</x:v>
      </x:c>
      <x:c r="E185" s="4" t="str">
        <x:v>MODEL-001、MODEL-002、MODEL-003、MODEL-004、MODEL-005、MODEL-006、MODEL-007、MODEL-008、MODEL-009、MODEL-010、MODEL-011</x:v>
      </x:c>
      <x:c r="F185" s="4" t="str">
        <x:v>API-001；API-002（每路由独立请求夹具）</x:v>
      </x:c>
      <x:c r="G185" s="4" t="str">
        <x:v>含写操作/生命周期；按具体契约执行</x:v>
      </x:c>
      <x:c r="H185" s="4" t="str">
        <x:v>src/api/ApiRouterRoutes.cc:100</x:v>
      </x:c>
      <x:c r="I185" s="4" t="str">
        <x:v>未执行</x:v>
      </x:c>
      <x:c r="J185" s="12" t="str"/>
    </x:row>
    <x:row r="186" ht="40" customHeight="1">
      <x:c r="A186" s="9" t="str">
        <x:v>APIREF-182</x:v>
      </x:c>
      <x:c r="B186" s="9" t="str">
        <x:v>/gtw/cwai/atomic/Model/CancelUpload</x:v>
      </x:c>
      <x:c r="C186" s="9" t="str">
        <x:v>kAuth</x:v>
      </x:c>
      <x:c r="D186" s="9" t="str">
        <x:v>MODEL</x:v>
      </x:c>
      <x:c r="E186" s="9" t="str">
        <x:v>MODEL-001、MODEL-002、MODEL-003、MODEL-004、MODEL-005、MODEL-006、MODEL-007、MODEL-008、MODEL-009、MODEL-010、MODEL-011</x:v>
      </x:c>
      <x:c r="F186" s="9" t="str">
        <x:v>API-001；API-002（每路由独立请求夹具）</x:v>
      </x:c>
      <x:c r="G186" s="9" t="str">
        <x:v>含写操作/生命周期；按具体契约执行</x:v>
      </x:c>
      <x:c r="H186" s="9" t="str">
        <x:v>src/api/ApiRouterRoutes.cc:108</x:v>
      </x:c>
      <x:c r="I186" s="9" t="str">
        <x:v>未执行</x:v>
      </x:c>
      <x:c r="J186" s="12" t="str"/>
    </x:row>
    <x:row r="187" ht="40" customHeight="1">
      <x:c r="A187" s="4" t="str">
        <x:v>APIREF-183</x:v>
      </x:c>
      <x:c r="B187" s="4" t="str">
        <x:v>/gtw/cwai/atomic/model/exportConfig</x:v>
      </x:c>
      <x:c r="C187" s="4" t="str">
        <x:v>kAuth</x:v>
      </x:c>
      <x:c r="D187" s="4" t="str">
        <x:v>MODEL</x:v>
      </x:c>
      <x:c r="E187" s="4" t="str">
        <x:v>MODEL-001、MODEL-002、MODEL-003、MODEL-004、MODEL-005、MODEL-006、MODEL-007、MODEL-008、MODEL-009、MODEL-010、MODEL-011</x:v>
      </x:c>
      <x:c r="F187" s="4" t="str">
        <x:v>API-001；API-002（每路由独立请求夹具）</x:v>
      </x:c>
      <x:c r="G187" s="4" t="str">
        <x:v>含写操作/生命周期；按具体契约执行</x:v>
      </x:c>
      <x:c r="H187" s="4" t="str">
        <x:v>src/api/ApiRouterRoutes.cc:125</x:v>
      </x:c>
      <x:c r="I187" s="4" t="str">
        <x:v>未执行</x:v>
      </x:c>
      <x:c r="J187" s="12" t="str"/>
    </x:row>
  </x:sheetData>
  <x:conditionalFormatting sqref="I5:I187">
    <x:cfRule type="containsText" dxfId="12" priority="1" operator="containsText" text="失败"/>
    <x:cfRule type="containsText" dxfId="13" priority="2" operator="containsText" text="阻塞"/>
  </x:conditionalFormatting>
  <x:dataValidations count="1">
    <x:dataValidation type="list" sqref="I5:I187">
      <x:formula1>"未执行,执行中,通过,失败,阻塞,不适用"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77c0cacfa24bb6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100" hidden="0" customWidth="1"/>
  </x:cols>
  <x:sheetData>
    <x:row r="2">
      <x:c r="A2" s="26" t="str">
        <x:v>补充验收检查（每行绑定一个用例）</x:v>
      </x:c>
      <x:c r="B2" s="26"/>
      <x:c r="C2" s="26"/>
    </x:row>
    <x:row r="3">
      <x:c r="A3" s="26"/>
      <x:c r="B3" s="26"/>
      <x:c r="C3" s="26"/>
    </x:row>
    <x:row r="4" ht="34" customHeight="1">
      <x:c r="A4" s="25" t="str">
        <x:v>用例ID</x:v>
      </x:c>
      <x:c r="B4" s="25" t="str">
        <x:v>检查ID</x:v>
      </x:c>
      <x:c r="C4" s="25" t="str">
        <x:v>检查内容</x:v>
      </x:c>
    </x:row>
    <x:row r="5">
      <x:c r="A5" s="26" t="str"/>
      <x:c r="B5" s="26" t="str"/>
      <x:c r="C5" s="26" t="str"/>
    </x:row>
    <x:row r="6" ht="48" customHeight="1">
      <x:c r="A6" s="37" t="str">
        <x:v>ALG-38874</x:v>
      </x:c>
      <x:c r="B6" s="37" t="str">
        <x:v>OBB-METADATA</x:v>
      </x:c>
      <x:c r="C6" s="37" t="str">
        <x:v>默认和各配置版本，以及节点参数声明，不含region、regionType、scheduleSupport、enableShieldedRegion、maxAreaCount、defaultFullScreen或confidenceConfig；直接confidence保留，保存重开不回流。</x:v>
      </x:c>
    </x:row>
    <x:row r="7" ht="48" customHeight="1">
      <x:c r="A7" s="37" t="str">
        <x:v>ALG-38874</x:v>
      </x:c>
      <x:c r="B7" s="37" t="str">
        <x:v>OBB-THRESHOLD</x:v>
      </x:c>
      <x:c r="C7" s="37" t="str">
        <x:v>同一图片同一模型的稳定目标在直接阈值两侧有可对账的保留/过滤结果；无可用边界样本时记录具体缺口，不能以空结果或请求成功替代。</x:v>
      </x:c>
    </x:row>
    <x:row r="8" ht="48" customHeight="1">
      <x:c r="A8" s="37" t="str">
        <x:v>ALG-38874</x:v>
      </x:c>
      <x:c r="B8" s="37" t="str">
        <x:v>OBB-PERSISTENCE</x:v>
      </x:c>
      <x:c r="C8" s="37" t="str">
        <x:v>临时阈值不改默认；显式保存的默认值重开可回读并影响后续分析；恢复后其他场景配置与结果保持基线。</x:v>
      </x:c>
    </x:row>
  </x:sheetData>
  <x:pageMargins left="0.7" right="0.7" top="0.75" bottom="0.75" header="0.3" footer="0.3"/>
  <x:tableParts count="1">
    <x:tablePart xmlns:r="http://schemas.openxmlformats.org/officeDocument/2006/relationships" r:id="R052dead9eb954231"/>
  </x:tableParts>
</x:worksheet>
</file>